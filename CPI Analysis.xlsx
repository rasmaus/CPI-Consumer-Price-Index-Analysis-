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\Downloads\DATA ANALYST\PROJECTS\"/>
    </mc:Choice>
  </mc:AlternateContent>
  <xr:revisionPtr revIDLastSave="0" documentId="13_ncr:1_{00A215C0-BE8B-4ED9-A73C-D8D50EA70055}" xr6:coauthVersionLast="47" xr6:coauthVersionMax="47" xr10:uidLastSave="{00000000-0000-0000-0000-000000000000}"/>
  <bookViews>
    <workbookView xWindow="5760" yWindow="3360" windowWidth="17280" windowHeight="8880" tabRatio="819" xr2:uid="{088E0663-6B60-4752-A96C-9C7A14364FD9}"/>
  </bookViews>
  <sheets>
    <sheet name="Objective Summery" sheetId="7" r:id="rId1"/>
    <sheet name="Raw Data" sheetId="1" r:id="rId2"/>
    <sheet name="Simple Univatiate Analysis" sheetId="2" r:id="rId3"/>
    <sheet name="Data understanding" sheetId="3" r:id="rId4"/>
    <sheet name="Transformed Data" sheetId="4" r:id="rId5"/>
    <sheet name="1. Objective " sheetId="6" r:id="rId6"/>
    <sheet name="2 Objective" sheetId="8" r:id="rId7"/>
    <sheet name="3 Objective" sheetId="10" r:id="rId8"/>
    <sheet name="4 Objective" sheetId="11" r:id="rId9"/>
    <sheet name=" 5 Objective" sheetId="12" r:id="rId10"/>
  </sheets>
  <definedNames>
    <definedName name="_xlnm._FilterDatabase" localSheetId="4" hidden="1">'Transformed Data'!$B$3:$AF$372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0" i="11" l="1"/>
  <c r="F111" i="11"/>
  <c r="F112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3" i="11"/>
  <c r="E41" i="11"/>
  <c r="E40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5" i="11"/>
  <c r="S32" i="10"/>
  <c r="T32" i="10"/>
  <c r="U32" i="10"/>
  <c r="Z30" i="10"/>
  <c r="Z21" i="10"/>
  <c r="Z32" i="10" s="1"/>
  <c r="Z22" i="10"/>
  <c r="Z23" i="10"/>
  <c r="Z24" i="10"/>
  <c r="Z25" i="10"/>
  <c r="Z26" i="10"/>
  <c r="Z27" i="10"/>
  <c r="Z28" i="10"/>
  <c r="Z29" i="10"/>
  <c r="Z31" i="10"/>
  <c r="Y21" i="10"/>
  <c r="Y22" i="10"/>
  <c r="Y32" i="10" s="1"/>
  <c r="Y23" i="10"/>
  <c r="Y24" i="10"/>
  <c r="Y25" i="10"/>
  <c r="Y26" i="10"/>
  <c r="Y27" i="10"/>
  <c r="Y28" i="10"/>
  <c r="Y29" i="10"/>
  <c r="Y30" i="10"/>
  <c r="Y31" i="10"/>
  <c r="X21" i="10"/>
  <c r="X22" i="10"/>
  <c r="X23" i="10"/>
  <c r="X24" i="10"/>
  <c r="X25" i="10"/>
  <c r="X26" i="10"/>
  <c r="X27" i="10"/>
  <c r="X28" i="10"/>
  <c r="X29" i="10"/>
  <c r="X30" i="10"/>
  <c r="X31" i="10"/>
  <c r="W21" i="10"/>
  <c r="W22" i="10"/>
  <c r="W23" i="10"/>
  <c r="W24" i="10"/>
  <c r="W25" i="10"/>
  <c r="W26" i="10"/>
  <c r="W27" i="10"/>
  <c r="W28" i="10"/>
  <c r="W29" i="10"/>
  <c r="W30" i="10"/>
  <c r="W31" i="10"/>
  <c r="V21" i="10"/>
  <c r="V22" i="10"/>
  <c r="V23" i="10"/>
  <c r="V24" i="10"/>
  <c r="V25" i="10"/>
  <c r="V26" i="10"/>
  <c r="V27" i="10"/>
  <c r="V28" i="10"/>
  <c r="V29" i="10"/>
  <c r="V30" i="10"/>
  <c r="V31" i="10"/>
  <c r="U21" i="10"/>
  <c r="U22" i="10"/>
  <c r="U23" i="10"/>
  <c r="U24" i="10"/>
  <c r="U25" i="10"/>
  <c r="U26" i="10"/>
  <c r="U27" i="10"/>
  <c r="U28" i="10"/>
  <c r="U29" i="10"/>
  <c r="U30" i="10"/>
  <c r="U31" i="10"/>
  <c r="Z20" i="10"/>
  <c r="Y20" i="10"/>
  <c r="X20" i="10"/>
  <c r="X32" i="10" s="1"/>
  <c r="U20" i="10"/>
  <c r="V20" i="10"/>
  <c r="V32" i="10" s="1"/>
  <c r="W20" i="10"/>
  <c r="W32" i="10" s="1"/>
  <c r="Q21" i="10"/>
  <c r="R21" i="10"/>
  <c r="R32" i="10" s="1"/>
  <c r="S21" i="10"/>
  <c r="T21" i="10"/>
  <c r="Q22" i="10"/>
  <c r="R22" i="10"/>
  <c r="S22" i="10"/>
  <c r="T22" i="10"/>
  <c r="Q23" i="10"/>
  <c r="R23" i="10"/>
  <c r="S23" i="10"/>
  <c r="T23" i="10"/>
  <c r="Q24" i="10"/>
  <c r="R24" i="10"/>
  <c r="S24" i="10"/>
  <c r="T24" i="10"/>
  <c r="Q25" i="10"/>
  <c r="R25" i="10"/>
  <c r="S25" i="10"/>
  <c r="T25" i="10"/>
  <c r="Q26" i="10"/>
  <c r="R26" i="10"/>
  <c r="S26" i="10"/>
  <c r="T26" i="10"/>
  <c r="Q27" i="10"/>
  <c r="R27" i="10"/>
  <c r="S27" i="10"/>
  <c r="T27" i="10"/>
  <c r="Q28" i="10"/>
  <c r="R28" i="10"/>
  <c r="S28" i="10"/>
  <c r="T28" i="10"/>
  <c r="Q29" i="10"/>
  <c r="R29" i="10"/>
  <c r="S29" i="10"/>
  <c r="T29" i="10"/>
  <c r="Q30" i="10"/>
  <c r="R30" i="10"/>
  <c r="S30" i="10"/>
  <c r="T30" i="10"/>
  <c r="Q31" i="10"/>
  <c r="R31" i="10"/>
  <c r="S31" i="10"/>
  <c r="T31" i="10"/>
  <c r="R20" i="10"/>
  <c r="S20" i="10"/>
  <c r="T20" i="10"/>
  <c r="Q20" i="10"/>
  <c r="Q32" i="10" s="1"/>
  <c r="P30" i="10"/>
  <c r="P31" i="10"/>
  <c r="P23" i="10"/>
  <c r="P24" i="10"/>
  <c r="P25" i="10"/>
  <c r="P26" i="10"/>
  <c r="P27" i="10"/>
  <c r="P28" i="10"/>
  <c r="P29" i="10"/>
  <c r="P21" i="10"/>
  <c r="P32" i="10" s="1"/>
  <c r="P22" i="10"/>
  <c r="P20" i="10"/>
  <c r="N31" i="10"/>
  <c r="N20" i="10"/>
  <c r="N21" i="10"/>
  <c r="N22" i="10"/>
  <c r="N23" i="10"/>
  <c r="N24" i="10"/>
  <c r="O24" i="10" s="1"/>
  <c r="N25" i="10"/>
  <c r="N26" i="10"/>
  <c r="O26" i="10" s="1"/>
  <c r="N27" i="10"/>
  <c r="N28" i="10"/>
  <c r="O28" i="10" s="1"/>
  <c r="N29" i="10"/>
  <c r="N30" i="10"/>
  <c r="N19" i="10"/>
  <c r="C18" i="8"/>
  <c r="C19" i="8"/>
  <c r="C20" i="8"/>
  <c r="C21" i="8"/>
  <c r="C22" i="8"/>
  <c r="C23" i="8"/>
  <c r="Q40" i="6"/>
  <c r="T36" i="6" s="1"/>
  <c r="P40" i="6"/>
  <c r="S35" i="6" s="1"/>
  <c r="O40" i="6"/>
  <c r="R34" i="6" s="1"/>
  <c r="T39" i="6"/>
  <c r="R38" i="6"/>
  <c r="R37" i="6"/>
  <c r="R35" i="6"/>
  <c r="T34" i="6"/>
  <c r="K50" i="6"/>
  <c r="K51" i="6"/>
  <c r="K49" i="6"/>
  <c r="H38" i="6"/>
  <c r="H39" i="6"/>
  <c r="H37" i="6"/>
  <c r="H24" i="6"/>
  <c r="H25" i="6"/>
  <c r="H23" i="6"/>
  <c r="R11" i="6"/>
  <c r="R9" i="6"/>
  <c r="R10" i="6"/>
  <c r="S10" i="6"/>
  <c r="S11" i="6"/>
  <c r="S9" i="6"/>
  <c r="AD263" i="4"/>
  <c r="AC264" i="4"/>
  <c r="AB263" i="4"/>
  <c r="AC263" i="4"/>
  <c r="AE263" i="4"/>
  <c r="AF263" i="4"/>
  <c r="AB264" i="4"/>
  <c r="AD264" i="4"/>
  <c r="AE264" i="4"/>
  <c r="AF264" i="4"/>
  <c r="AC262" i="4"/>
  <c r="AD262" i="4"/>
  <c r="AE262" i="4"/>
  <c r="AF262" i="4"/>
  <c r="AB262" i="4"/>
  <c r="AA262" i="4"/>
  <c r="AA263" i="4"/>
  <c r="AA264" i="4"/>
  <c r="Y263" i="4"/>
  <c r="Y264" i="4"/>
  <c r="Y262" i="4"/>
  <c r="V263" i="4"/>
  <c r="V264" i="4"/>
  <c r="V262" i="4"/>
  <c r="U263" i="4"/>
  <c r="U264" i="4"/>
  <c r="U262" i="4"/>
  <c r="T263" i="4"/>
  <c r="T264" i="4"/>
  <c r="T262" i="4"/>
  <c r="S263" i="4"/>
  <c r="S264" i="4"/>
  <c r="S262" i="4"/>
  <c r="Q263" i="4"/>
  <c r="Q264" i="4"/>
  <c r="G264" i="4"/>
  <c r="O25" i="10" l="1"/>
  <c r="O30" i="10"/>
  <c r="O29" i="10"/>
  <c r="O21" i="10"/>
  <c r="O22" i="10"/>
  <c r="O20" i="10"/>
  <c r="O27" i="10"/>
  <c r="O31" i="10"/>
  <c r="O23" i="10"/>
  <c r="T9" i="6"/>
  <c r="T37" i="6"/>
  <c r="T33" i="6"/>
  <c r="R33" i="6"/>
  <c r="T35" i="6"/>
  <c r="S38" i="6"/>
  <c r="S33" i="6"/>
  <c r="R36" i="6"/>
  <c r="T38" i="6"/>
  <c r="R39" i="6"/>
  <c r="S36" i="6"/>
  <c r="S39" i="6"/>
  <c r="S34" i="6"/>
  <c r="S37" i="6"/>
  <c r="T10" i="6"/>
  <c r="T11" i="6"/>
  <c r="G263" i="4" l="1"/>
  <c r="G262" i="4"/>
  <c r="Q262" i="4"/>
</calcChain>
</file>

<file path=xl/sharedStrings.xml><?xml version="1.0" encoding="utf-8"?>
<sst xmlns="http://schemas.openxmlformats.org/spreadsheetml/2006/main" count="2865" uniqueCount="295">
  <si>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</si>
  <si>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</si>
  <si>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</si>
  <si>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</si>
  <si>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</si>
  <si>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</si>
  <si>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</si>
  <si>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</si>
  <si>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</si>
  <si>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</si>
  <si>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</si>
  <si>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</si>
  <si>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</si>
  <si>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</si>
  <si>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</si>
  <si>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</si>
  <si>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</si>
  <si>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</si>
  <si>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</si>
  <si>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</si>
  <si>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</si>
  <si>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</si>
  <si>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</si>
  <si>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</si>
  <si>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</si>
  <si>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</si>
  <si>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</si>
  <si>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</si>
  <si>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</si>
  <si>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</si>
  <si>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</si>
  <si>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</si>
  <si>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</si>
  <si>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</si>
  <si>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</si>
  <si>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</si>
  <si>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</si>
  <si>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</si>
  <si>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</si>
  <si>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</si>
  <si>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</si>
  <si>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</si>
  <si>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</si>
  <si>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</si>
  <si>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</si>
  <si>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</si>
  <si>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</si>
  <si>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</si>
  <si>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</si>
  <si>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 xml:space="preserve">Perform changes on these columns </t>
  </si>
  <si>
    <t>Row Labels</t>
  </si>
  <si>
    <t>Grand Total</t>
  </si>
  <si>
    <t>Column Name</t>
  </si>
  <si>
    <t>Status</t>
  </si>
  <si>
    <t>Change to be done</t>
  </si>
  <si>
    <t>No change required</t>
  </si>
  <si>
    <r>
      <rPr>
        <b/>
        <sz val="11"/>
        <color rgb="FFFF0000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 : Due to insufficent data, we have removed the may month of 2023 from across 3 sectors</t>
    </r>
  </si>
  <si>
    <t xml:space="preserve">Treat Null(NA) Vlaues </t>
  </si>
  <si>
    <t>Done</t>
  </si>
  <si>
    <t>Finding out which category (e.g., food or energy) contributed most to inflation in the latest month which is December 2023</t>
  </si>
  <si>
    <t>Sum of Milk and products</t>
  </si>
  <si>
    <t>Sum of Egg</t>
  </si>
  <si>
    <t>Sum of Cereals and products</t>
  </si>
  <si>
    <t>Sum of Oils and fats</t>
  </si>
  <si>
    <t>Sum of Fruits</t>
  </si>
  <si>
    <t>Sum of Vegetables</t>
  </si>
  <si>
    <t>Sum of Pulses and products</t>
  </si>
  <si>
    <t>Housing &amp; Utilities</t>
  </si>
  <si>
    <t>Food &amp; Beverages</t>
  </si>
  <si>
    <t>Clothing &amp; Footware</t>
  </si>
  <si>
    <t xml:space="preserve">Personal </t>
  </si>
  <si>
    <t>Catageory</t>
  </si>
  <si>
    <t>Columns</t>
  </si>
  <si>
    <t>Sum of Sugar and Confectionery</t>
  </si>
  <si>
    <t>Sum of Spices</t>
  </si>
  <si>
    <t>Sum of Non-alcoholic beverages</t>
  </si>
  <si>
    <t>Sum of Prepared meals, snacks, sweets etc.</t>
  </si>
  <si>
    <t>Sum of Food and beverages</t>
  </si>
  <si>
    <t>Sum of Pan, tobacco and intoxicants</t>
  </si>
  <si>
    <t>Sum of Meat and fish</t>
  </si>
  <si>
    <t>Sum of Clothing and footwear</t>
  </si>
  <si>
    <t>Sum of Housing</t>
  </si>
  <si>
    <t>Sum of Fuel and light</t>
  </si>
  <si>
    <t>Sum of Footwear</t>
  </si>
  <si>
    <t>Sum of Household goods and services</t>
  </si>
  <si>
    <t>Sum of Health</t>
  </si>
  <si>
    <t>Sum of Education</t>
  </si>
  <si>
    <t>Sum of Personal care and effects</t>
  </si>
  <si>
    <t>Sum of Recreation and amusement</t>
  </si>
  <si>
    <t>Sum of Transport and communication</t>
  </si>
  <si>
    <t>Personal</t>
  </si>
  <si>
    <t>Transportation</t>
  </si>
  <si>
    <t>Food &amp;Beverages</t>
  </si>
  <si>
    <t>Insights:</t>
  </si>
  <si>
    <t>Total CPI</t>
  </si>
  <si>
    <t>Rural Contribution</t>
  </si>
  <si>
    <t>Urban Contribution</t>
  </si>
  <si>
    <t>Rural+urban contribution</t>
  </si>
  <si>
    <t>Urban inflation in December 2023 was mainly driven by personal expenses and healthcare, with food also playing a significant role.</t>
  </si>
  <si>
    <t>Rural inflation in December 2023 was driven more by non-food essentials like clothing and health rather than food or transport.</t>
  </si>
  <si>
    <t>Overall inflation in December 2023 was driven more by personal, health, and clothing-related expenses, while transportation had the least impact on price increases.</t>
  </si>
  <si>
    <t>Average of General index</t>
  </si>
  <si>
    <t>Column Labels</t>
  </si>
  <si>
    <t>(Multiple Items)</t>
  </si>
  <si>
    <t>Food prices surged in 2019 due to erratic monsoons affecting crop yields.</t>
  </si>
  <si>
    <t>Supply chain disruptions and higher fuel prices contributed to overall inflation.</t>
  </si>
  <si>
    <t>Increased demand for certain goods and services.</t>
  </si>
  <si>
    <t>Possible Reasons:
Food prices surged in 2019 due to erratic monsoons affecting crop yields.
Supply chain disruptions and higher fuel prices contributed to overall inflation.
Increased demand for certain goods and services.</t>
  </si>
  <si>
    <t>Month Year</t>
  </si>
  <si>
    <t>Jan-23</t>
  </si>
  <si>
    <t>Feb-23</t>
  </si>
  <si>
    <t>Mar-23</t>
  </si>
  <si>
    <t>Apr-23</t>
  </si>
  <si>
    <t>May-22</t>
  </si>
  <si>
    <t>May-23</t>
  </si>
  <si>
    <t>Jun-22</t>
  </si>
  <si>
    <t>Jul-22</t>
  </si>
  <si>
    <t>Aug-22</t>
  </si>
  <si>
    <t>Sep-22</t>
  </si>
  <si>
    <t>Oct-22</t>
  </si>
  <si>
    <t>Nov-22</t>
  </si>
  <si>
    <t>Dec-22</t>
  </si>
  <si>
    <t>Average of Oils and fats</t>
  </si>
  <si>
    <t>Average of Cereals and products</t>
  </si>
  <si>
    <t>Average of Meat and fish</t>
  </si>
  <si>
    <t>Average of Milk and products</t>
  </si>
  <si>
    <t>Average of Fruits</t>
  </si>
  <si>
    <t>Average of Egg</t>
  </si>
  <si>
    <t>Average of Vegetables</t>
  </si>
  <si>
    <t>Average of Pulses and products</t>
  </si>
  <si>
    <t>Average of Sugar and Confectionery</t>
  </si>
  <si>
    <t>Average of Food and beverages</t>
  </si>
  <si>
    <t xml:space="preserve"> Oils and fats</t>
  </si>
  <si>
    <t xml:space="preserve"> Cereals and product</t>
  </si>
  <si>
    <t xml:space="preserve"> Meat and fish</t>
  </si>
  <si>
    <t xml:space="preserve"> Milk and products</t>
  </si>
  <si>
    <t xml:space="preserve"> Fruits</t>
  </si>
  <si>
    <t xml:space="preserve"> Egg</t>
  </si>
  <si>
    <t xml:space="preserve"> Vegetables</t>
  </si>
  <si>
    <t xml:space="preserve"> Pulses and products</t>
  </si>
  <si>
    <t xml:space="preserve"> Sugar and Confectio</t>
  </si>
  <si>
    <t xml:space="preserve"> Food and beverages</t>
  </si>
  <si>
    <t xml:space="preserve">June 2022  has the hoghest food inflation </t>
  </si>
  <si>
    <t xml:space="preserve">December 2022 and febuary 2023 has the lowest food inflation </t>
  </si>
  <si>
    <t>Insights :</t>
  </si>
  <si>
    <t>"Spices" contribute highest to the food inflation folowed by the "Cereals and Product", "Milk products" and "Pulses products"</t>
  </si>
  <si>
    <t>2: Analyze year-on-year CPI growth since 2017 and identify the year with the highest inflation</t>
  </si>
  <si>
    <t>3: Food Price Analysis (12 months ending May 2023)</t>
  </si>
  <si>
    <t xml:space="preserve">avg of all the category </t>
  </si>
  <si>
    <t>(All)</t>
  </si>
  <si>
    <t>Apr-20</t>
  </si>
  <si>
    <t>Aug-19</t>
  </si>
  <si>
    <t>Aug-20</t>
  </si>
  <si>
    <t>Dec-19</t>
  </si>
  <si>
    <t>Dec-20</t>
  </si>
  <si>
    <t>Feb-19</t>
  </si>
  <si>
    <t>Feb-20</t>
  </si>
  <si>
    <t>Jan-19</t>
  </si>
  <si>
    <t>Jan-20</t>
  </si>
  <si>
    <t>Jul-19</t>
  </si>
  <si>
    <t>Jul-20</t>
  </si>
  <si>
    <t>Jun-19</t>
  </si>
  <si>
    <t>Jun-20</t>
  </si>
  <si>
    <t>Mar-19</t>
  </si>
  <si>
    <t>Mar-20</t>
  </si>
  <si>
    <t>May-19</t>
  </si>
  <si>
    <t>Nov-19</t>
  </si>
  <si>
    <t>Nov-20</t>
  </si>
  <si>
    <t>Oct-19</t>
  </si>
  <si>
    <t>Oct-20</t>
  </si>
  <si>
    <t>Sep-19</t>
  </si>
  <si>
    <t>Sep-20</t>
  </si>
  <si>
    <t>Average of Spices</t>
  </si>
  <si>
    <t>Average of Prepared meals, snacks, sweets etc.</t>
  </si>
  <si>
    <t>Post Covid Period</t>
  </si>
  <si>
    <t>difference =</t>
  </si>
  <si>
    <t>increse after the covid 19</t>
  </si>
  <si>
    <t>Impact before and after Covid Period</t>
  </si>
  <si>
    <t>CPI</t>
  </si>
  <si>
    <t>Change</t>
  </si>
  <si>
    <t>Average of Health</t>
  </si>
  <si>
    <t>Average of Fuel and light</t>
  </si>
  <si>
    <t>Average of Transport and communication</t>
  </si>
  <si>
    <t>Before COVID, food inflation was stable, mostly ranging between 0–2%.</t>
  </si>
  <si>
    <t>Around March 2020, inflation dropped briefly and then rose sharply due to supply chain disruptions and panic buying.</t>
  </si>
  <si>
    <t>Post-lockdown, food inflation remained volatile compared to the pre-COVID period</t>
  </si>
  <si>
    <t>Health inflation remained low and stable before COVID, indicating controlled healthcare costs.</t>
  </si>
  <si>
    <t>At the onset of COVID, inflation dipped temporarily but increased sharply due to higher demand for medical services and supplies.</t>
  </si>
  <si>
    <t>Post-COVID, health inflation stabilized at a slightly higher level than before.</t>
  </si>
  <si>
    <t>Essential services showed moderate price fluctuations before COVID.</t>
  </si>
  <si>
    <t>Inflation declined during the lockdown period due to reduced consumption and policy interventions.</t>
  </si>
  <si>
    <t>After lockdown easing, prices recovered and stabilized at low positive levels.</t>
  </si>
  <si>
    <t xml:space="preserve">Insights: </t>
  </si>
  <si>
    <t>Crud Oil prices In $</t>
  </si>
  <si>
    <t>Sep-21</t>
  </si>
  <si>
    <t>May-21</t>
  </si>
  <si>
    <t>Mar-22</t>
  </si>
  <si>
    <t>Mar-21</t>
  </si>
  <si>
    <t>Jun-21</t>
  </si>
  <si>
    <t>Jul-21</t>
  </si>
  <si>
    <t>Oct-21</t>
  </si>
  <si>
    <t>Nov-21</t>
  </si>
  <si>
    <t>Jan-22</t>
  </si>
  <si>
    <t>Jan-21</t>
  </si>
  <si>
    <t>Feb-22</t>
  </si>
  <si>
    <t>Feb-21</t>
  </si>
  <si>
    <t>Dec-21</t>
  </si>
  <si>
    <t>Aug-21</t>
  </si>
  <si>
    <t>Apr-22</t>
  </si>
  <si>
    <t>Apr-21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</si>
  <si>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</si>
  <si>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</si>
  <si>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</si>
  <si>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</si>
  <si>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</si>
  <si>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</si>
  <si>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</si>
  <si>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</si>
  <si>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</si>
  <si>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</si>
  <si>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</si>
  <si>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</si>
  <si>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</si>
  <si>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</si>
  <si>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</si>
  <si>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</si>
  <si>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</si>
  <si>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</si>
  <si>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</si>
  <si>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</si>
  <si>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</si>
  <si>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</si>
  <si>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</si>
  <si>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</si>
  <si>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</si>
  <si>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</si>
  <si>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</si>
  <si>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</si>
  <si>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</si>
  <si>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</si>
  <si>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</si>
  <si>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</si>
  <si>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</si>
  <si>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</si>
  <si>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</si>
  <si>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</si>
  <si>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</si>
  <si>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</si>
  <si>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</si>
  <si>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</si>
  <si>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</si>
  <si>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</si>
  <si>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</si>
  <si>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</si>
  <si>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</si>
  <si>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</si>
  <si>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</si>
  <si>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</si>
  <si>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</si>
  <si>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</si>
  <si>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</si>
  <si>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</si>
  <si>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</si>
  <si>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</si>
  <si>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</si>
  <si>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</si>
  <si>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</si>
  <si>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</si>
  <si>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</si>
  <si>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</si>
  <si>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</si>
  <si>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</si>
  <si>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</si>
  <si>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</si>
  <si>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</si>
  <si>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</si>
  <si>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</si>
  <si>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</si>
  <si>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</si>
  <si>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</si>
  <si>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</si>
  <si>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Average of Personal care and effects</t>
  </si>
  <si>
    <t>Average of Education</t>
  </si>
  <si>
    <t>Highlight</t>
  </si>
  <si>
    <t xml:space="preserve">5: Investigating  how major global economic event have influnced the india's inflation </t>
  </si>
  <si>
    <t>Insight :</t>
  </si>
  <si>
    <t>Correlation Table</t>
  </si>
  <si>
    <t>• Transport &amp; Communication shows the highest correlation with crude oil (≈0.80), making it the most oil-sensitive category.</t>
  </si>
  <si>
    <t>• Health inflation has strong oil linkage (≈0.70), driven by fuel-intensive logistics and supply chains.</t>
  </si>
  <si>
    <t>• Fuel &amp; Light is moderately correlated with crude oil (≈0.68), indicating partial price pass-through controls.</t>
  </si>
  <si>
    <t>• Personal Care inflation shows moderate oil dependence (≈0.68) due to packaging and input cost effects.</t>
  </si>
  <si>
    <t>• Food &amp; Beverages inflation has a weaker oil correlation (≈0.64), reflecting indirect transmission via transport costs.</t>
  </si>
  <si>
    <t>1: Finding out which category contributed most to inflation in the latest month which is December 2023</t>
  </si>
  <si>
    <t>4: How the Covid 19 affact the inflation rate  march 2020 is the on set iof Covid 19</t>
  </si>
  <si>
    <t>Remove the Spaces form the month and make Marcrh to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</si>
</sst>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"/>
      <color rgb="FF292A3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6"/>
      <color rgb="FF292A31"/>
      <name val="Arial"/>
      <family val="2"/>
    </font>
    <font>
      <sz val="7"/>
      <color rgb="FF292A31"/>
      <name val="Arial"/>
      <family val="2"/>
    </font>
    <font>
      <b/>
      <sz val="11"/>
      <color rgb="FF292A31"/>
      <name val="Arial"/>
      <family val="2"/>
    </font>
    <font>
      <b/>
      <sz val="10"/>
      <color rgb="FF292A3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/>
    <xf numFmtId="0" fontId="13" fillId="41" borderId="0" xfId="0" applyFont="1" applyFill="1"/>
    <xf numFmtId="0" fontId="21" fillId="42" borderId="0" xfId="0" applyFont="1" applyFill="1"/>
    <xf numFmtId="0" fontId="16" fillId="43" borderId="0" xfId="0" applyFont="1" applyFill="1"/>
    <xf numFmtId="0" fontId="0" fillId="42" borderId="0" xfId="0" applyFill="1"/>
    <xf numFmtId="0" fontId="16" fillId="42" borderId="0" xfId="0" applyFont="1" applyFill="1"/>
    <xf numFmtId="1" fontId="0" fillId="0" borderId="0" xfId="0" applyNumberFormat="1"/>
    <xf numFmtId="164" fontId="0" fillId="0" borderId="0" xfId="42" applyNumberFormat="1" applyFont="1"/>
    <xf numFmtId="0" fontId="22" fillId="33" borderId="0" xfId="0" applyFont="1" applyFill="1"/>
    <xf numFmtId="0" fontId="22" fillId="33" borderId="0" xfId="0" applyFont="1" applyFill="1" applyAlignment="1">
      <alignment horizontal="left"/>
    </xf>
    <xf numFmtId="0" fontId="16" fillId="0" borderId="0" xfId="0" applyFont="1"/>
    <xf numFmtId="0" fontId="21" fillId="0" borderId="0" xfId="0" applyFont="1"/>
    <xf numFmtId="0" fontId="0" fillId="0" borderId="0" xfId="0" applyAlignment="1">
      <alignment horizontal="left" indent="2"/>
    </xf>
    <xf numFmtId="0" fontId="21" fillId="35" borderId="0" xfId="0" applyFont="1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3" borderId="0" xfId="0" applyFill="1"/>
    <xf numFmtId="0" fontId="22" fillId="0" borderId="0" xfId="0" applyFont="1" applyAlignment="1">
      <alignment horizontal="left"/>
    </xf>
    <xf numFmtId="0" fontId="0" fillId="42" borderId="0" xfId="0" applyFill="1" applyAlignment="1">
      <alignment horizontal="left"/>
    </xf>
    <xf numFmtId="0" fontId="16" fillId="47" borderId="10" xfId="0" applyFont="1" applyFill="1" applyBorder="1"/>
    <xf numFmtId="165" fontId="0" fillId="0" borderId="0" xfId="0" applyNumberFormat="1"/>
    <xf numFmtId="9" fontId="0" fillId="0" borderId="0" xfId="42" applyFont="1"/>
    <xf numFmtId="0" fontId="23" fillId="0" borderId="0" xfId="0" applyFont="1"/>
    <xf numFmtId="0" fontId="24" fillId="48" borderId="0" xfId="0" applyFont="1" applyFill="1" applyAlignment="1">
      <alignment vertical="center" wrapText="1"/>
    </xf>
    <xf numFmtId="0" fontId="0" fillId="48" borderId="0" xfId="0" applyFill="1"/>
    <xf numFmtId="0" fontId="24" fillId="48" borderId="0" xfId="0" applyFont="1" applyFill="1" applyAlignment="1">
      <alignment horizontal="left" vertical="center" wrapText="1"/>
    </xf>
    <xf numFmtId="0" fontId="26" fillId="48" borderId="0" xfId="0" applyFont="1" applyFill="1" applyAlignment="1">
      <alignment horizontal="left" vertical="center"/>
    </xf>
    <xf numFmtId="0" fontId="19" fillId="48" borderId="0" xfId="0" applyFont="1" applyFill="1" applyAlignment="1">
      <alignment horizontal="left" vertical="center" wrapText="1" indent="1"/>
    </xf>
    <xf numFmtId="0" fontId="19" fillId="48" borderId="0" xfId="0" applyFont="1" applyFill="1" applyAlignment="1">
      <alignment horizontal="left" vertical="center" indent="2"/>
    </xf>
    <xf numFmtId="9" fontId="0" fillId="0" borderId="0" xfId="0" applyNumberFormat="1"/>
    <xf numFmtId="17" fontId="0" fillId="0" borderId="0" xfId="0" applyNumberFormat="1"/>
    <xf numFmtId="166" fontId="0" fillId="0" borderId="0" xfId="0" applyNumberFormat="1"/>
    <xf numFmtId="9" fontId="0" fillId="0" borderId="0" xfId="42" applyFont="1" applyAlignment="1">
      <alignment horizontal="left"/>
    </xf>
    <xf numFmtId="0" fontId="16" fillId="43" borderId="0" xfId="0" applyFont="1" applyFill="1" applyAlignment="1">
      <alignment horizontal="left" indent="2"/>
    </xf>
    <xf numFmtId="14" fontId="0" fillId="0" borderId="0" xfId="0" applyNumberFormat="1"/>
    <xf numFmtId="49" fontId="0" fillId="0" borderId="0" xfId="0" applyNumberFormat="1"/>
    <xf numFmtId="14" fontId="13" fillId="33" borderId="0" xfId="0" applyNumberFormat="1" applyFont="1" applyFill="1"/>
    <xf numFmtId="0" fontId="0" fillId="0" borderId="11" xfId="0" applyBorder="1"/>
    <xf numFmtId="2" fontId="0" fillId="0" borderId="0" xfId="0" applyNumberFormat="1"/>
    <xf numFmtId="20" fontId="0" fillId="0" borderId="0" xfId="0" applyNumberFormat="1"/>
    <xf numFmtId="0" fontId="16" fillId="34" borderId="0" xfId="0" applyFont="1" applyFill="1"/>
    <xf numFmtId="0" fontId="16" fillId="43" borderId="0" xfId="0" applyFont="1" applyFill="1" applyAlignment="1">
      <alignment horizontal="left" indent="5"/>
    </xf>
    <xf numFmtId="0" fontId="26" fillId="48" borderId="0" xfId="0" applyFont="1" applyFill="1" applyAlignment="1">
      <alignment vertical="center"/>
    </xf>
    <xf numFmtId="0" fontId="0" fillId="34" borderId="0" xfId="0" applyFill="1"/>
    <xf numFmtId="2" fontId="0" fillId="34" borderId="0" xfId="0" applyNumberFormat="1" applyFill="1"/>
    <xf numFmtId="0" fontId="25" fillId="42" borderId="0" xfId="0" applyFont="1" applyFill="1" applyAlignment="1">
      <alignment horizontal="center" vertical="top" wrapText="1"/>
    </xf>
    <xf numFmtId="0" fontId="16" fillId="39" borderId="0" xfId="0" applyFont="1" applyFill="1" applyAlignment="1">
      <alignment horizontal="center"/>
    </xf>
    <xf numFmtId="0" fontId="16" fillId="37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left" wrapText="1"/>
    </xf>
    <xf numFmtId="0" fontId="16" fillId="34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6" fillId="38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Objective '!$R$32</c:f>
              <c:strCache>
                <c:ptCount val="1"/>
                <c:pt idx="0">
                  <c:v>Rural Contribution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Objective '!$N$33:$N$39</c:f>
              <c:strCache>
                <c:ptCount val="7"/>
                <c:pt idx="0">
                  <c:v>Food &amp;Beverages</c:v>
                </c:pt>
                <c:pt idx="1">
                  <c:v>Clothing &amp; Footware</c:v>
                </c:pt>
                <c:pt idx="2">
                  <c:v>Housing &amp; Utilities</c:v>
                </c:pt>
                <c:pt idx="3">
                  <c:v>Health</c:v>
                </c:pt>
                <c:pt idx="4">
                  <c:v>Education</c:v>
                </c:pt>
                <c:pt idx="5">
                  <c:v>Personal</c:v>
                </c:pt>
                <c:pt idx="6">
                  <c:v>Transportation</c:v>
                </c:pt>
              </c:strCache>
            </c:strRef>
          </c:cat>
          <c:val>
            <c:numRef>
              <c:f>'1. Objective '!$R$33:$R$39</c:f>
              <c:numCache>
                <c:formatCode>0.0%</c:formatCode>
                <c:ptCount val="7"/>
                <c:pt idx="0">
                  <c:v>0.13880366394328361</c:v>
                </c:pt>
                <c:pt idx="1">
                  <c:v>0.14964198790131186</c:v>
                </c:pt>
                <c:pt idx="2">
                  <c:v>0.14123956008442826</c:v>
                </c:pt>
                <c:pt idx="3">
                  <c:v>0.14793524475100736</c:v>
                </c:pt>
                <c:pt idx="4">
                  <c:v>0.14202728769226108</c:v>
                </c:pt>
                <c:pt idx="5">
                  <c:v>0.14667488057847483</c:v>
                </c:pt>
                <c:pt idx="6">
                  <c:v>0.13367737504923294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3-4A93-8B3E-BEC66E0689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2982815"/>
        <c:axId val="532983295"/>
      </c:barChart>
      <c:catAx>
        <c:axId val="53298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983295"/>
        <c:crosses val="autoZero"/>
        <c:auto val="1"/>
        <c:lblAlgn val="ctr"/>
        <c:lblOffset val="100"/>
        <c:noMultiLvlLbl val="0"/>
      </c:catAx>
      <c:valAx>
        <c:axId val="532983295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53298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Objective '!$S$32</c:f>
              <c:strCache>
                <c:ptCount val="1"/>
                <c:pt idx="0">
                  <c:v>Urban Contribution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Objective '!$N$33:$N$39</c:f>
              <c:strCache>
                <c:ptCount val="7"/>
                <c:pt idx="0">
                  <c:v>Food &amp;Beverages</c:v>
                </c:pt>
                <c:pt idx="1">
                  <c:v>Clothing &amp; Footware</c:v>
                </c:pt>
                <c:pt idx="2">
                  <c:v>Housing &amp; Utilities</c:v>
                </c:pt>
                <c:pt idx="3">
                  <c:v>Health</c:v>
                </c:pt>
                <c:pt idx="4">
                  <c:v>Education</c:v>
                </c:pt>
                <c:pt idx="5">
                  <c:v>Personal</c:v>
                </c:pt>
                <c:pt idx="6">
                  <c:v>Transportation</c:v>
                </c:pt>
              </c:strCache>
            </c:strRef>
          </c:cat>
          <c:val>
            <c:numRef>
              <c:f>'1. Objective '!$S$33:$S$39</c:f>
              <c:numCache>
                <c:formatCode>0.0%</c:formatCode>
                <c:ptCount val="7"/>
                <c:pt idx="0">
                  <c:v>0.14533123938069345</c:v>
                </c:pt>
                <c:pt idx="1">
                  <c:v>0.1425886316628045</c:v>
                </c:pt>
                <c:pt idx="2">
                  <c:v>0.14269651033249453</c:v>
                </c:pt>
                <c:pt idx="3">
                  <c:v>0.14741620213143355</c:v>
                </c:pt>
                <c:pt idx="4">
                  <c:v>0.14142893596363659</c:v>
                </c:pt>
                <c:pt idx="5">
                  <c:v>0.15076044089182467</c:v>
                </c:pt>
                <c:pt idx="6">
                  <c:v>0.12977803963711276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E-47CB-9832-78643A4CD9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69543183"/>
        <c:axId val="769543663"/>
      </c:barChart>
      <c:catAx>
        <c:axId val="76954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543663"/>
        <c:crosses val="autoZero"/>
        <c:auto val="1"/>
        <c:lblAlgn val="ctr"/>
        <c:lblOffset val="100"/>
        <c:noMultiLvlLbl val="0"/>
      </c:catAx>
      <c:valAx>
        <c:axId val="76954366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76954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Objective '!$T$32</c:f>
              <c:strCache>
                <c:ptCount val="1"/>
                <c:pt idx="0">
                  <c:v>Rural+urban contribution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Objective '!$N$33:$N$39</c:f>
              <c:strCache>
                <c:ptCount val="7"/>
                <c:pt idx="0">
                  <c:v>Food &amp;Beverages</c:v>
                </c:pt>
                <c:pt idx="1">
                  <c:v>Clothing &amp; Footware</c:v>
                </c:pt>
                <c:pt idx="2">
                  <c:v>Housing &amp; Utilities</c:v>
                </c:pt>
                <c:pt idx="3">
                  <c:v>Health</c:v>
                </c:pt>
                <c:pt idx="4">
                  <c:v>Education</c:v>
                </c:pt>
                <c:pt idx="5">
                  <c:v>Personal</c:v>
                </c:pt>
                <c:pt idx="6">
                  <c:v>Transportation</c:v>
                </c:pt>
              </c:strCache>
            </c:strRef>
          </c:cat>
          <c:val>
            <c:numRef>
              <c:f>'1. Objective '!$T$33:$T$39</c:f>
              <c:numCache>
                <c:formatCode>0.0%</c:formatCode>
                <c:ptCount val="7"/>
                <c:pt idx="0">
                  <c:v>0.14160956136168784</c:v>
                </c:pt>
                <c:pt idx="1">
                  <c:v>0.14715264662371066</c:v>
                </c:pt>
                <c:pt idx="2">
                  <c:v>0.1419389953695083</c:v>
                </c:pt>
                <c:pt idx="3">
                  <c:v>0.14819005682225089</c:v>
                </c:pt>
                <c:pt idx="4">
                  <c:v>0.14132718935498456</c:v>
                </c:pt>
                <c:pt idx="5">
                  <c:v>0.14826985760675399</c:v>
                </c:pt>
                <c:pt idx="6">
                  <c:v>0.13151169286110367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2-4B1F-AD49-41FE534324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2990975"/>
        <c:axId val="532993375"/>
      </c:barChart>
      <c:catAx>
        <c:axId val="53299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993375"/>
        <c:crosses val="autoZero"/>
        <c:auto val="1"/>
        <c:lblAlgn val="ctr"/>
        <c:lblOffset val="100"/>
        <c:noMultiLvlLbl val="0"/>
      </c:catAx>
      <c:valAx>
        <c:axId val="532993375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53299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5555555555555552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83-4B70-BE2B-087E9F5303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 Objective'!$B$18:$B$23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 Objective'!$C$18:$C$23</c:f>
              <c:numCache>
                <c:formatCode>0%</c:formatCode>
                <c:ptCount val="6"/>
                <c:pt idx="0">
                  <c:v>5.2752880921895069E-2</c:v>
                </c:pt>
                <c:pt idx="1">
                  <c:v>2.3641238118450029E-2</c:v>
                </c:pt>
                <c:pt idx="2">
                  <c:v>7.7400860009555747E-2</c:v>
                </c:pt>
                <c:pt idx="3">
                  <c:v>5.8183433266711188E-2</c:v>
                </c:pt>
                <c:pt idx="4">
                  <c:v>5.6379821958456838E-2</c:v>
                </c:pt>
                <c:pt idx="5">
                  <c:v>5.994769664051483E-2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4B70-BE2B-087E9F5303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6551360"/>
        <c:axId val="1426553760"/>
      </c:barChart>
      <c:catAx>
        <c:axId val="14265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53760"/>
        <c:crosses val="autoZero"/>
        <c:auto val="1"/>
        <c:lblAlgn val="ctr"/>
        <c:lblOffset val="100"/>
        <c:noMultiLvlLbl val="0"/>
      </c:catAx>
      <c:valAx>
        <c:axId val="14265537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65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 w="25400"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Objective'!$B$38</c:f>
              <c:strCache>
                <c:ptCount val="1"/>
                <c:pt idx="0">
                  <c:v>Jun-22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Objective'!$C$38</c:f>
              <c:numCache>
                <c:formatCode>0.0%</c:formatCode>
                <c:ptCount val="1"/>
                <c:pt idx="0">
                  <c:v>1.1009368549197865E-2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1-4D3B-A80A-615A4D81C434}"/>
            </c:ext>
          </c:extLst>
        </c:ser>
        <c:ser>
          <c:idx val="1"/>
          <c:order val="1"/>
          <c:tx>
            <c:strRef>
              <c:f>'3 Objective'!$B$39</c:f>
              <c:strCache>
                <c:ptCount val="1"/>
                <c:pt idx="0">
                  <c:v>Jul-22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Objective'!$C$39</c:f>
              <c:numCache>
                <c:formatCode>0.0%</c:formatCode>
                <c:ptCount val="1"/>
                <c:pt idx="0">
                  <c:v>1.3611852782577545E-3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1-4D3B-A80A-615A4D81C434}"/>
            </c:ext>
          </c:extLst>
        </c:ser>
        <c:ser>
          <c:idx val="2"/>
          <c:order val="2"/>
          <c:tx>
            <c:strRef>
              <c:f>'3 Objective'!$B$40</c:f>
              <c:strCache>
                <c:ptCount val="1"/>
                <c:pt idx="0">
                  <c:v>Aug-22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Objective'!$C$40</c:f>
              <c:numCache>
                <c:formatCode>0.0%</c:formatCode>
                <c:ptCount val="1"/>
                <c:pt idx="0">
                  <c:v>7.3194960004197734E-4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1-4D3B-A80A-615A4D81C434}"/>
            </c:ext>
          </c:extLst>
        </c:ser>
        <c:ser>
          <c:idx val="3"/>
          <c:order val="3"/>
          <c:tx>
            <c:strRef>
              <c:f>'3 Objective'!$B$41</c:f>
              <c:strCache>
                <c:ptCount val="1"/>
                <c:pt idx="0">
                  <c:v>Sep-22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Objective'!$C$41</c:f>
              <c:numCache>
                <c:formatCode>0.0%</c:formatCode>
                <c:ptCount val="1"/>
                <c:pt idx="0">
                  <c:v>5.224387440572251E-3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B1-4D3B-A80A-615A4D81C434}"/>
            </c:ext>
          </c:extLst>
        </c:ser>
        <c:ser>
          <c:idx val="4"/>
          <c:order val="4"/>
          <c:tx>
            <c:strRef>
              <c:f>'3 Objective'!$B$42</c:f>
              <c:strCache>
                <c:ptCount val="1"/>
                <c:pt idx="0">
                  <c:v>Oct-22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Objective'!$C$42</c:f>
              <c:numCache>
                <c:formatCode>0.0%</c:formatCode>
                <c:ptCount val="1"/>
                <c:pt idx="0">
                  <c:v>7.795852606413611E-3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1-4D3B-A80A-615A4D81C434}"/>
            </c:ext>
          </c:extLst>
        </c:ser>
        <c:ser>
          <c:idx val="5"/>
          <c:order val="5"/>
          <c:tx>
            <c:strRef>
              <c:f>'3 Objective'!$B$43</c:f>
              <c:strCache>
                <c:ptCount val="1"/>
                <c:pt idx="0">
                  <c:v>Nov-22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Objective'!$C$43</c:f>
              <c:numCache>
                <c:formatCode>0.0%</c:formatCode>
                <c:ptCount val="1"/>
                <c:pt idx="0">
                  <c:v>-1.1345469547729295E-3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B1-4D3B-A80A-615A4D81C434}"/>
            </c:ext>
          </c:extLst>
        </c:ser>
        <c:ser>
          <c:idx val="6"/>
          <c:order val="6"/>
          <c:tx>
            <c:strRef>
              <c:f>'3 Objective'!$B$44</c:f>
              <c:strCache>
                <c:ptCount val="1"/>
                <c:pt idx="0">
                  <c:v>Dec-22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Objective'!$C$44</c:f>
              <c:numCache>
                <c:formatCode>0.0%</c:formatCode>
                <c:ptCount val="1"/>
                <c:pt idx="0">
                  <c:v>-7.6410759460992681E-3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B1-4D3B-A80A-615A4D81C434}"/>
            </c:ext>
          </c:extLst>
        </c:ser>
        <c:ser>
          <c:idx val="7"/>
          <c:order val="7"/>
          <c:tx>
            <c:strRef>
              <c:f>'3 Objective'!$B$45</c:f>
              <c:strCache>
                <c:ptCount val="1"/>
                <c:pt idx="0">
                  <c:v>Jan-23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Objective'!$C$45</c:f>
              <c:numCache>
                <c:formatCode>0.0%</c:formatCode>
                <c:ptCount val="1"/>
                <c:pt idx="0">
                  <c:v>4.1621143540919968E-3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B1-4D3B-A80A-615A4D81C434}"/>
            </c:ext>
          </c:extLst>
        </c:ser>
        <c:ser>
          <c:idx val="8"/>
          <c:order val="8"/>
          <c:tx>
            <c:strRef>
              <c:f>'3 Objective'!$B$46</c:f>
              <c:strCache>
                <c:ptCount val="1"/>
                <c:pt idx="0">
                  <c:v>Feb-23</c:v>
                </c:pt>
              </c:strCache>
            </c:strRef>
          </c:tx>
          <c:spPr>
            <a:solidFill>
              <a:schemeClr val="accent3">
                <a:lumMod val="60000"/>
                <a:alpha val="88000"/>
              </a:schemeClr>
            </a:solidFill>
            <a:ln>
              <a:solidFill>
                <a:schemeClr val="accent3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Objective'!$C$46</c:f>
              <c:numCache>
                <c:formatCode>0.0%</c:formatCode>
                <c:ptCount val="1"/>
                <c:pt idx="0">
                  <c:v>-8.4451582819543951E-3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B1-4D3B-A80A-615A4D81C434}"/>
            </c:ext>
          </c:extLst>
        </c:ser>
        <c:ser>
          <c:idx val="9"/>
          <c:order val="9"/>
          <c:tx>
            <c:strRef>
              <c:f>'3 Objective'!$B$47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4">
                <a:lumMod val="60000"/>
                <a:alpha val="88000"/>
              </a:schemeClr>
            </a:solidFill>
            <a:ln>
              <a:solidFill>
                <a:schemeClr val="accent4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Objective'!$C$47</c:f>
              <c:numCache>
                <c:formatCode>0.0%</c:formatCode>
                <c:ptCount val="1"/>
                <c:pt idx="0">
                  <c:v>5.2252063956315396E-5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B1-4D3B-A80A-615A4D81C434}"/>
            </c:ext>
          </c:extLst>
        </c:ser>
        <c:ser>
          <c:idx val="10"/>
          <c:order val="10"/>
          <c:tx>
            <c:strRef>
              <c:f>'3 Objective'!$B$48</c:f>
              <c:strCache>
                <c:ptCount val="1"/>
                <c:pt idx="0">
                  <c:v>Apr-23</c:v>
                </c:pt>
              </c:strCache>
            </c:strRef>
          </c:tx>
          <c:spPr>
            <a:solidFill>
              <a:schemeClr val="accent5">
                <a:lumMod val="60000"/>
                <a:alpha val="88000"/>
              </a:schemeClr>
            </a:solidFill>
            <a:ln>
              <a:solidFill>
                <a:schemeClr val="accent5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Objective'!$C$48</c:f>
              <c:numCache>
                <c:formatCode>0.0%</c:formatCode>
                <c:ptCount val="1"/>
                <c:pt idx="0">
                  <c:v>4.8591880453527402E-3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B1-4D3B-A80A-615A4D81C434}"/>
            </c:ext>
          </c:extLst>
        </c:ser>
        <c:ser>
          <c:idx val="11"/>
          <c:order val="11"/>
          <c:tx>
            <c:strRef>
              <c:f>'3 Objective'!$B$49</c:f>
              <c:strCache>
                <c:ptCount val="1"/>
                <c:pt idx="0">
                  <c:v>May-23</c:v>
                </c:pt>
              </c:strCache>
            </c:strRef>
          </c:tx>
          <c:spPr>
            <a:solidFill>
              <a:schemeClr val="accent6">
                <a:lumMod val="60000"/>
                <a:alpha val="88000"/>
              </a:schemeClr>
            </a:solidFill>
            <a:ln>
              <a:solidFill>
                <a:schemeClr val="accent6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Objective'!$C$49</c:f>
              <c:numCache>
                <c:formatCode>0.0%</c:formatCode>
                <c:ptCount val="1"/>
                <c:pt idx="0">
                  <c:v>8.3714642262892169E-3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B1-4D3B-A80A-615A4D81C4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24023760"/>
        <c:axId val="1124025200"/>
        <c:axId val="0"/>
      </c:bar3DChart>
      <c:catAx>
        <c:axId val="112402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4025200"/>
        <c:crosses val="autoZero"/>
        <c:auto val="1"/>
        <c:lblAlgn val="ctr"/>
        <c:lblOffset val="100"/>
        <c:noMultiLvlLbl val="0"/>
      </c:catAx>
      <c:valAx>
        <c:axId val="1124025200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1240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357664395866325E-2"/>
          <c:y val="0.86098070745760968"/>
          <c:w val="0.85420550150299701"/>
          <c:h val="0.11640607563969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542463984024505E-2"/>
          <c:y val="4.0306188543521304E-2"/>
          <c:w val="0.96691507203195104"/>
          <c:h val="0.73247452588294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 Objective'!$C$57</c:f>
              <c:strCache>
                <c:ptCount val="1"/>
                <c:pt idx="0">
                  <c:v> Oils and fats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Objective'!$D$57</c:f>
              <c:numCache>
                <c:formatCode>0%</c:formatCode>
                <c:ptCount val="1"/>
                <c:pt idx="0">
                  <c:v>-0.17196654140370343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B-417F-8AB9-2E26F4EF40D8}"/>
            </c:ext>
          </c:extLst>
        </c:ser>
        <c:ser>
          <c:idx val="1"/>
          <c:order val="1"/>
          <c:tx>
            <c:strRef>
              <c:f>'3 Objective'!$C$58</c:f>
              <c:strCache>
                <c:ptCount val="1"/>
                <c:pt idx="0">
                  <c:v> Cereals and product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Objective'!$D$58</c:f>
              <c:numCache>
                <c:formatCode>0%</c:formatCode>
                <c:ptCount val="1"/>
                <c:pt idx="0">
                  <c:v>0.12085220029035372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B-417F-8AB9-2E26F4EF40D8}"/>
            </c:ext>
          </c:extLst>
        </c:ser>
        <c:ser>
          <c:idx val="2"/>
          <c:order val="2"/>
          <c:tx>
            <c:strRef>
              <c:f>'3 Objective'!$C$59</c:f>
              <c:strCache>
                <c:ptCount val="1"/>
                <c:pt idx="0">
                  <c:v> Meat and fish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Objective'!$D$59</c:f>
              <c:numCache>
                <c:formatCode>0%</c:formatCode>
                <c:ptCount val="1"/>
                <c:pt idx="0">
                  <c:v>-1.0960038075584964E-2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B-417F-8AB9-2E26F4EF40D8}"/>
            </c:ext>
          </c:extLst>
        </c:ser>
        <c:ser>
          <c:idx val="3"/>
          <c:order val="3"/>
          <c:tx>
            <c:strRef>
              <c:f>'3 Objective'!$C$60</c:f>
              <c:strCache>
                <c:ptCount val="1"/>
                <c:pt idx="0">
                  <c:v> Milk and products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Objective'!$D$60</c:f>
              <c:numCache>
                <c:formatCode>0%</c:formatCode>
                <c:ptCount val="1"/>
                <c:pt idx="0">
                  <c:v>8.5207275393248891E-2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B-417F-8AB9-2E26F4EF40D8}"/>
            </c:ext>
          </c:extLst>
        </c:ser>
        <c:ser>
          <c:idx val="4"/>
          <c:order val="4"/>
          <c:tx>
            <c:strRef>
              <c:f>'3 Objective'!$C$61</c:f>
              <c:strCache>
                <c:ptCount val="1"/>
                <c:pt idx="0">
                  <c:v> Fruits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Objective'!$D$61</c:f>
              <c:numCache>
                <c:formatCode>0%</c:formatCode>
                <c:ptCount val="1"/>
                <c:pt idx="0">
                  <c:v>1.212892331833881E-2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B-417F-8AB9-2E26F4EF40D8}"/>
            </c:ext>
          </c:extLst>
        </c:ser>
        <c:ser>
          <c:idx val="5"/>
          <c:order val="5"/>
          <c:tx>
            <c:strRef>
              <c:f>'3 Objective'!$C$62</c:f>
              <c:strCache>
                <c:ptCount val="1"/>
                <c:pt idx="0">
                  <c:v> Egg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Objective'!$D$62</c:f>
              <c:numCache>
                <c:formatCode>0%</c:formatCode>
                <c:ptCount val="1"/>
                <c:pt idx="0">
                  <c:v>7.5858020928857975E-2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AB-417F-8AB9-2E26F4EF40D8}"/>
            </c:ext>
          </c:extLst>
        </c:ser>
        <c:ser>
          <c:idx val="6"/>
          <c:order val="6"/>
          <c:tx>
            <c:strRef>
              <c:f>'3 Objective'!$C$63</c:f>
              <c:strCache>
                <c:ptCount val="1"/>
                <c:pt idx="0">
                  <c:v> Vegetables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Objective'!$D$63</c:f>
              <c:numCache>
                <c:formatCode>0%</c:formatCode>
                <c:ptCount val="1"/>
                <c:pt idx="0">
                  <c:v>-6.6466572857876549E-2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AB-417F-8AB9-2E26F4EF40D8}"/>
            </c:ext>
          </c:extLst>
        </c:ser>
        <c:ser>
          <c:idx val="7"/>
          <c:order val="7"/>
          <c:tx>
            <c:strRef>
              <c:f>'3 Objective'!$C$64</c:f>
              <c:strCache>
                <c:ptCount val="1"/>
                <c:pt idx="0">
                  <c:v> Pulses and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Objective'!$D$64</c:f>
              <c:numCache>
                <c:formatCode>0%</c:formatCode>
                <c:ptCount val="1"/>
                <c:pt idx="0">
                  <c:v>6.4492479670082731E-2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AB-417F-8AB9-2E26F4EF40D8}"/>
            </c:ext>
          </c:extLst>
        </c:ser>
        <c:ser>
          <c:idx val="8"/>
          <c:order val="8"/>
          <c:tx>
            <c:strRef>
              <c:f>'3 Objective'!$C$65</c:f>
              <c:strCache>
                <c:ptCount val="1"/>
                <c:pt idx="0">
                  <c:v> Sugar and Confectio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Objective'!$D$65</c:f>
              <c:numCache>
                <c:formatCode>0%</c:formatCode>
                <c:ptCount val="1"/>
                <c:pt idx="0">
                  <c:v>2.4990010110495772E-2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AB-417F-8AB9-2E26F4EF40D8}"/>
            </c:ext>
          </c:extLst>
        </c:ser>
        <c:ser>
          <c:idx val="9"/>
          <c:order val="9"/>
          <c:tx>
            <c:strRef>
              <c:f>'3 Objective'!$C$66</c:f>
              <c:strCache>
                <c:ptCount val="1"/>
                <c:pt idx="0">
                  <c:v>Spices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Objective'!$D$66</c:f>
              <c:numCache>
                <c:formatCode>0%</c:formatCode>
                <c:ptCount val="1"/>
                <c:pt idx="0">
                  <c:v>0.16602381892132637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AB-417F-8AB9-2E26F4EF40D8}"/>
            </c:ext>
          </c:extLst>
        </c:ser>
        <c:ser>
          <c:idx val="10"/>
          <c:order val="10"/>
          <c:tx>
            <c:strRef>
              <c:f>'3 Objective'!$C$67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Objective'!$D$67</c:f>
              <c:numCache>
                <c:formatCode>0%</c:formatCode>
                <c:ptCount val="1"/>
                <c:pt idx="0">
                  <c:v>3.3242003192595196E-2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AB-417F-8AB9-2E26F4EF40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6657040"/>
        <c:axId val="1596657520"/>
      </c:barChart>
      <c:catAx>
        <c:axId val="1596657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6657520"/>
        <c:crosses val="autoZero"/>
        <c:auto val="1"/>
        <c:lblAlgn val="ctr"/>
        <c:lblOffset val="100"/>
        <c:noMultiLvlLbl val="0"/>
      </c:catAx>
      <c:valAx>
        <c:axId val="1596657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966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652826020052497E-2"/>
          <c:y val="0.81802664709349682"/>
          <c:w val="0.98033945325557936"/>
          <c:h val="0.18197335290650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Objective'!$B$31</c:f>
              <c:strCache>
                <c:ptCount val="1"/>
                <c:pt idx="0">
                  <c:v>Change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 Objective'!$A$32:$A$52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Objective'!$B$32:$B$52</c:f>
              <c:numCache>
                <c:formatCode>0%</c:formatCode>
                <c:ptCount val="21"/>
                <c:pt idx="0">
                  <c:v>2.696083475683942E-3</c:v>
                </c:pt>
                <c:pt idx="1">
                  <c:v>4.2898193760262208E-3</c:v>
                </c:pt>
                <c:pt idx="2">
                  <c:v>1.8802755012364971E-2</c:v>
                </c:pt>
                <c:pt idx="3">
                  <c:v>1.3139681839153925E-2</c:v>
                </c:pt>
                <c:pt idx="4">
                  <c:v>1.3602882939965344E-2</c:v>
                </c:pt>
                <c:pt idx="5">
                  <c:v>5.4306421050576504E-3</c:v>
                </c:pt>
                <c:pt idx="6">
                  <c:v>6.0036138257977606E-3</c:v>
                </c:pt>
                <c:pt idx="7">
                  <c:v>1.6107227007609387E-2</c:v>
                </c:pt>
                <c:pt idx="8">
                  <c:v>1.4027218125142828E-2</c:v>
                </c:pt>
                <c:pt idx="9">
                  <c:v>1.9287722586691567E-2</c:v>
                </c:pt>
                <c:pt idx="10">
                  <c:v>-3.7514481693300471E-3</c:v>
                </c:pt>
                <c:pt idx="11">
                  <c:v>-1.6169820027688072E-2</c:v>
                </c:pt>
                <c:pt idx="12">
                  <c:v>-9.3998011219721678E-3</c:v>
                </c:pt>
                <c:pt idx="13">
                  <c:v>3.9310201143982759E-2</c:v>
                </c:pt>
                <c:pt idx="14">
                  <c:v>1.5216816860596145E-3</c:v>
                </c:pt>
                <c:pt idx="15">
                  <c:v>0</c:v>
                </c:pt>
                <c:pt idx="16">
                  <c:v>1.4993540404316118E-2</c:v>
                </c:pt>
                <c:pt idx="17">
                  <c:v>5.8442838959501158E-3</c:v>
                </c:pt>
                <c:pt idx="18">
                  <c:v>2.1102536225426436E-2</c:v>
                </c:pt>
                <c:pt idx="19">
                  <c:v>2.2970449110680625E-2</c:v>
                </c:pt>
                <c:pt idx="20">
                  <c:v>4.8458375279401894E-3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6-40E3-B259-3A110836B8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6273952"/>
        <c:axId val="2076281152"/>
      </c:scatterChart>
      <c:valAx>
        <c:axId val="20762739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81152"/>
        <c:crosses val="autoZero"/>
        <c:crossBetween val="midCat"/>
      </c:valAx>
      <c:valAx>
        <c:axId val="20762811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7627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 Objective'!$D$61:$D$81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Objective'!$E$61:$E$81</c:f>
              <c:numCache>
                <c:formatCode>0%</c:formatCode>
                <c:ptCount val="21"/>
                <c:pt idx="0">
                  <c:v>3.4682080924855496E-3</c:v>
                </c:pt>
                <c:pt idx="1">
                  <c:v>4.1474654377879798E-3</c:v>
                </c:pt>
                <c:pt idx="2">
                  <c:v>5.048187241854362E-3</c:v>
                </c:pt>
                <c:pt idx="3">
                  <c:v>3.1963470319632879E-3</c:v>
                </c:pt>
                <c:pt idx="4">
                  <c:v>3.4137460172963133E-3</c:v>
                </c:pt>
                <c:pt idx="5">
                  <c:v>4.0825584032660083E-3</c:v>
                </c:pt>
                <c:pt idx="6">
                  <c:v>3.6141856787892351E-3</c:v>
                </c:pt>
                <c:pt idx="7">
                  <c:v>2.7008777852802544E-3</c:v>
                </c:pt>
                <c:pt idx="8">
                  <c:v>3.3670033670035585E-3</c:v>
                </c:pt>
                <c:pt idx="9">
                  <c:v>3.1319910514539602E-3</c:v>
                </c:pt>
                <c:pt idx="10">
                  <c:v>5.1293487957180077E-3</c:v>
                </c:pt>
                <c:pt idx="11">
                  <c:v>3.5500332815621917E-3</c:v>
                </c:pt>
                <c:pt idx="12">
                  <c:v>3.7585673225734879E-3</c:v>
                </c:pt>
                <c:pt idx="13">
                  <c:v>-9.2511013215859396E-3</c:v>
                </c:pt>
                <c:pt idx="14">
                  <c:v>2.4232992441084875E-2</c:v>
                </c:pt>
                <c:pt idx="15">
                  <c:v>0</c:v>
                </c:pt>
                <c:pt idx="16">
                  <c:v>3.9070978945083198E-3</c:v>
                </c:pt>
                <c:pt idx="17">
                  <c:v>4.7567567567568551E-3</c:v>
                </c:pt>
                <c:pt idx="18">
                  <c:v>4.5190445448675832E-3</c:v>
                </c:pt>
                <c:pt idx="19">
                  <c:v>5.9982862039417552E-3</c:v>
                </c:pt>
                <c:pt idx="20">
                  <c:v>6.8143100511074825E-3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7-4CA2-8625-5790C52056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6247072"/>
        <c:axId val="2076254752"/>
      </c:scatterChart>
      <c:valAx>
        <c:axId val="2076247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54752"/>
        <c:crosses val="autoZero"/>
        <c:crossBetween val="midCat"/>
      </c:valAx>
      <c:valAx>
        <c:axId val="20762547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7624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essential services.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 Objective'!$E$92:$E$112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Objective'!$F$92:$F$112</c:f>
              <c:numCache>
                <c:formatCode>0%</c:formatCode>
                <c:ptCount val="21"/>
                <c:pt idx="0">
                  <c:v>-2.1661569826707293E-3</c:v>
                </c:pt>
                <c:pt idx="1">
                  <c:v>7.9172519473883502E-3</c:v>
                </c:pt>
                <c:pt idx="2">
                  <c:v>3.1673634866338706E-3</c:v>
                </c:pt>
                <c:pt idx="3">
                  <c:v>2.6521848951755063E-3</c:v>
                </c:pt>
                <c:pt idx="4">
                  <c:v>-4.2826552462526483E-3</c:v>
                </c:pt>
                <c:pt idx="5">
                  <c:v>-2.6565464895637399E-3</c:v>
                </c:pt>
                <c:pt idx="6">
                  <c:v>4.058853373921853E-3</c:v>
                </c:pt>
                <c:pt idx="7">
                  <c:v>6.442647801920335E-3</c:v>
                </c:pt>
                <c:pt idx="8">
                  <c:v>8.2841722103677243E-3</c:v>
                </c:pt>
                <c:pt idx="9">
                  <c:v>1.7303622556952544E-2</c:v>
                </c:pt>
                <c:pt idx="10">
                  <c:v>7.5868820362214387E-3</c:v>
                </c:pt>
                <c:pt idx="11">
                  <c:v>7.8940976439153335E-3</c:v>
                </c:pt>
                <c:pt idx="12">
                  <c:v>4.9403542595493708E-3</c:v>
                </c:pt>
                <c:pt idx="13">
                  <c:v>-7.6738609112709556E-3</c:v>
                </c:pt>
                <c:pt idx="14">
                  <c:v>2.4166263895600364E-3</c:v>
                </c:pt>
                <c:pt idx="15">
                  <c:v>0</c:v>
                </c:pt>
                <c:pt idx="16">
                  <c:v>1.6272902603664419E-2</c:v>
                </c:pt>
                <c:pt idx="17">
                  <c:v>3.2024670857548716E-3</c:v>
                </c:pt>
                <c:pt idx="18">
                  <c:v>4.2563253724286322E-3</c:v>
                </c:pt>
                <c:pt idx="19">
                  <c:v>8.2411113727342297E-4</c:v>
                </c:pt>
                <c:pt idx="20">
                  <c:v>4.3524291259852315E-3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0-4A29-A856-766D7BF997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6268192"/>
        <c:axId val="2076283072"/>
      </c:scatterChart>
      <c:valAx>
        <c:axId val="20762681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83072"/>
        <c:crosses val="autoZero"/>
        <c:crossBetween val="midCat"/>
      </c:valAx>
      <c:valAx>
        <c:axId val="2076283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7626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136192648402599E-3"/>
          <c:y val="0"/>
          <c:w val="0.98642853159820609"/>
          <c:h val="0.85915602312981554"/>
        </c:manualLayout>
      </c:layout>
      <c:areaChart>
        <c:grouping val="standard"/>
        <c:varyColors val="0"/>
        <c:ser>
          <c:idx val="7"/>
          <c:order val="7"/>
          <c:tx>
            <c:strRef>
              <c:f>' 5 Objective'!$J$8</c:f>
              <c:strCache>
                <c:ptCount val="1"/>
                <c:pt idx="0">
                  <c:v>Highlight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 5 Objective'!$J$9:$J$32</c:f>
              <c:numCache>
                <c:formatCode>0</c:formatCode>
                <c:ptCount val="24"/>
                <c:pt idx="15">
                  <c:v>1150</c:v>
                </c:pt>
                <c:pt idx="16">
                  <c:v>1150</c:v>
                </c:pt>
                <c:pt idx="17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B-4759-9C8E-6F317D5C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39296"/>
        <c:axId val="1596943136"/>
      </c:areaChart>
      <c:lineChart>
        <c:grouping val="stacked"/>
        <c:varyColors val="0"/>
        <c:ser>
          <c:idx val="0"/>
          <c:order val="0"/>
          <c:tx>
            <c:strRef>
              <c:f>' 5 Objective'!$C$8</c:f>
              <c:strCache>
                <c:ptCount val="1"/>
                <c:pt idx="0">
                  <c:v>Crud Oil prices In $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Objective'!$C$9:$C$32</c:f>
              <c:numCache>
                <c:formatCode>0</c:formatCode>
                <c:ptCount val="24"/>
                <c:pt idx="0">
                  <c:v>52.16</c:v>
                </c:pt>
                <c:pt idx="1">
                  <c:v>61.55</c:v>
                </c:pt>
                <c:pt idx="2">
                  <c:v>59.19</c:v>
                </c:pt>
                <c:pt idx="3">
                  <c:v>63.5</c:v>
                </c:pt>
                <c:pt idx="4">
                  <c:v>66.31</c:v>
                </c:pt>
                <c:pt idx="5">
                  <c:v>73.52</c:v>
                </c:pt>
                <c:pt idx="6">
                  <c:v>73.930000000000007</c:v>
                </c:pt>
                <c:pt idx="7">
                  <c:v>68.430000000000007</c:v>
                </c:pt>
                <c:pt idx="8">
                  <c:v>75.22</c:v>
                </c:pt>
                <c:pt idx="9">
                  <c:v>83.5</c:v>
                </c:pt>
                <c:pt idx="10">
                  <c:v>66.14</c:v>
                </c:pt>
                <c:pt idx="11">
                  <c:v>75.33</c:v>
                </c:pt>
                <c:pt idx="12">
                  <c:v>89.16</c:v>
                </c:pt>
                <c:pt idx="13">
                  <c:v>96.13</c:v>
                </c:pt>
                <c:pt idx="14">
                  <c:v>100.53</c:v>
                </c:pt>
                <c:pt idx="15">
                  <c:v>104.59</c:v>
                </c:pt>
                <c:pt idx="16">
                  <c:v>114.38</c:v>
                </c:pt>
                <c:pt idx="17">
                  <c:v>107.76</c:v>
                </c:pt>
                <c:pt idx="18">
                  <c:v>101.31</c:v>
                </c:pt>
                <c:pt idx="19">
                  <c:v>90.09</c:v>
                </c:pt>
                <c:pt idx="20">
                  <c:v>79.91</c:v>
                </c:pt>
                <c:pt idx="21">
                  <c:v>86.54</c:v>
                </c:pt>
                <c:pt idx="22">
                  <c:v>80.48</c:v>
                </c:pt>
                <c:pt idx="23">
                  <c:v>80.16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B-4759-9C8E-6F317D5C2271}"/>
            </c:ext>
          </c:extLst>
        </c:ser>
        <c:ser>
          <c:idx val="1"/>
          <c:order val="1"/>
          <c:tx>
            <c:strRef>
              <c:f>' 5 Objective'!$D$8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Objective'!$D$9:$D$32</c:f>
              <c:numCache>
                <c:formatCode>0</c:formatCode>
                <c:ptCount val="24"/>
                <c:pt idx="0">
                  <c:v>147.23333333333335</c:v>
                </c:pt>
                <c:pt idx="1">
                  <c:v>151.96666666666667</c:v>
                </c:pt>
                <c:pt idx="2">
                  <c:v>155.43333333333334</c:v>
                </c:pt>
                <c:pt idx="3">
                  <c:v>155.5</c:v>
                </c:pt>
                <c:pt idx="4">
                  <c:v>158.86666666666665</c:v>
                </c:pt>
                <c:pt idx="5">
                  <c:v>159.33333333333334</c:v>
                </c:pt>
                <c:pt idx="6">
                  <c:v>160.29999999999998</c:v>
                </c:pt>
                <c:pt idx="7">
                  <c:v>162.13333333333333</c:v>
                </c:pt>
                <c:pt idx="8">
                  <c:v>162.36666666666665</c:v>
                </c:pt>
                <c:pt idx="9">
                  <c:v>163.96666666666667</c:v>
                </c:pt>
                <c:pt idx="10">
                  <c:v>163.6</c:v>
                </c:pt>
                <c:pt idx="11">
                  <c:v>163.79999999999998</c:v>
                </c:pt>
                <c:pt idx="12">
                  <c:v>163.86666666666665</c:v>
                </c:pt>
                <c:pt idx="13">
                  <c:v>165.36666666666667</c:v>
                </c:pt>
                <c:pt idx="14">
                  <c:v>166.86666666666667</c:v>
                </c:pt>
                <c:pt idx="15">
                  <c:v>172</c:v>
                </c:pt>
                <c:pt idx="16">
                  <c:v>174.4666666666667</c:v>
                </c:pt>
                <c:pt idx="17">
                  <c:v>175.86666666666665</c:v>
                </c:pt>
                <c:pt idx="18">
                  <c:v>179.56666666666669</c:v>
                </c:pt>
                <c:pt idx="19">
                  <c:v>178.76666666666668</c:v>
                </c:pt>
                <c:pt idx="20">
                  <c:v>179.46666666666667</c:v>
                </c:pt>
                <c:pt idx="21">
                  <c:v>180.43333333333331</c:v>
                </c:pt>
                <c:pt idx="22">
                  <c:v>181.16666666666666</c:v>
                </c:pt>
                <c:pt idx="23">
                  <c:v>181.80000000000004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AB-4759-9C8E-6F317D5C2271}"/>
            </c:ext>
          </c:extLst>
        </c:ser>
        <c:ser>
          <c:idx val="2"/>
          <c:order val="2"/>
          <c:tx>
            <c:strRef>
              <c:f>' 5 Objective'!$E$8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Objective'!$E$9:$E$32</c:f>
              <c:numCache>
                <c:formatCode>0</c:formatCode>
                <c:ptCount val="24"/>
                <c:pt idx="0">
                  <c:v>156.9</c:v>
                </c:pt>
                <c:pt idx="1">
                  <c:v>155.9</c:v>
                </c:pt>
                <c:pt idx="2">
                  <c:v>153.93333333333337</c:v>
                </c:pt>
                <c:pt idx="3">
                  <c:v>155.53333333333333</c:v>
                </c:pt>
                <c:pt idx="4">
                  <c:v>158.46666666666667</c:v>
                </c:pt>
                <c:pt idx="5">
                  <c:v>158.73333333333335</c:v>
                </c:pt>
                <c:pt idx="6">
                  <c:v>160.03333333333333</c:v>
                </c:pt>
                <c:pt idx="7">
                  <c:v>159.96666666666667</c:v>
                </c:pt>
                <c:pt idx="8">
                  <c:v>159.93333333333334</c:v>
                </c:pt>
                <c:pt idx="9">
                  <c:v>160.73333333333335</c:v>
                </c:pt>
                <c:pt idx="10">
                  <c:v>162.13333333333333</c:v>
                </c:pt>
                <c:pt idx="11">
                  <c:v>162.6</c:v>
                </c:pt>
                <c:pt idx="12">
                  <c:v>163</c:v>
                </c:pt>
                <c:pt idx="13">
                  <c:v>164.36666666666667</c:v>
                </c:pt>
                <c:pt idx="14">
                  <c:v>167.13333333333333</c:v>
                </c:pt>
                <c:pt idx="15">
                  <c:v>168.73333333333335</c:v>
                </c:pt>
                <c:pt idx="16">
                  <c:v>168.36666666666667</c:v>
                </c:pt>
                <c:pt idx="17">
                  <c:v>169.36666666666667</c:v>
                </c:pt>
                <c:pt idx="18">
                  <c:v>169.73333333333332</c:v>
                </c:pt>
                <c:pt idx="19">
                  <c:v>171.23333333333335</c:v>
                </c:pt>
                <c:pt idx="20">
                  <c:v>170.93333333333331</c:v>
                </c:pt>
                <c:pt idx="21">
                  <c:v>172.13333333333333</c:v>
                </c:pt>
                <c:pt idx="22">
                  <c:v>173.6</c:v>
                </c:pt>
                <c:pt idx="23">
                  <c:v>175.83333333333334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AB-4759-9C8E-6F317D5C2271}"/>
            </c:ext>
          </c:extLst>
        </c:ser>
        <c:ser>
          <c:idx val="3"/>
          <c:order val="3"/>
          <c:tx>
            <c:strRef>
              <c:f>' 5 Objective'!$F$8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Objective'!$F$9:$F$32</c:f>
              <c:numCache>
                <c:formatCode>0</c:formatCode>
                <c:ptCount val="24"/>
                <c:pt idx="0">
                  <c:v>142.1</c:v>
                </c:pt>
                <c:pt idx="1">
                  <c:v>145.26666666666668</c:v>
                </c:pt>
                <c:pt idx="2">
                  <c:v>146.4</c:v>
                </c:pt>
                <c:pt idx="3">
                  <c:v>146.79999999999998</c:v>
                </c:pt>
                <c:pt idx="4">
                  <c:v>149.03333333333333</c:v>
                </c:pt>
                <c:pt idx="5">
                  <c:v>150.79999999999998</c:v>
                </c:pt>
                <c:pt idx="6">
                  <c:v>153.23333333333335</c:v>
                </c:pt>
                <c:pt idx="7">
                  <c:v>154.03333333333333</c:v>
                </c:pt>
                <c:pt idx="8">
                  <c:v>154.1</c:v>
                </c:pt>
                <c:pt idx="9">
                  <c:v>155.79999999999998</c:v>
                </c:pt>
                <c:pt idx="10">
                  <c:v>154.96666666666667</c:v>
                </c:pt>
                <c:pt idx="11">
                  <c:v>155.86666666666667</c:v>
                </c:pt>
                <c:pt idx="12">
                  <c:v>156.66666666666666</c:v>
                </c:pt>
                <c:pt idx="13">
                  <c:v>157.06666666666666</c:v>
                </c:pt>
                <c:pt idx="14">
                  <c:v>158.03333333333333</c:v>
                </c:pt>
                <c:pt idx="15">
                  <c:v>162.69999999999999</c:v>
                </c:pt>
                <c:pt idx="16">
                  <c:v>163.16666666666666</c:v>
                </c:pt>
                <c:pt idx="17">
                  <c:v>161.26666666666665</c:v>
                </c:pt>
                <c:pt idx="18">
                  <c:v>161.76666666666668</c:v>
                </c:pt>
                <c:pt idx="19">
                  <c:v>162.06666666666669</c:v>
                </c:pt>
                <c:pt idx="20">
                  <c:v>162.46666666666667</c:v>
                </c:pt>
                <c:pt idx="21">
                  <c:v>163.03333333333333</c:v>
                </c:pt>
                <c:pt idx="22">
                  <c:v>163.13333333333333</c:v>
                </c:pt>
                <c:pt idx="23">
                  <c:v>163.53333333333333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AB-4759-9C8E-6F317D5C2271}"/>
            </c:ext>
          </c:extLst>
        </c:ser>
        <c:ser>
          <c:idx val="4"/>
          <c:order val="4"/>
          <c:tx>
            <c:strRef>
              <c:f>' 5 Objective'!$G$8</c:f>
              <c:strCache>
                <c:ptCount val="1"/>
                <c:pt idx="0">
                  <c:v>Health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Objective'!$G$9:$G$32</c:f>
              <c:numCache>
                <c:formatCode>0</c:formatCode>
                <c:ptCount val="24"/>
                <c:pt idx="0">
                  <c:v>158.63333333333333</c:v>
                </c:pt>
                <c:pt idx="1">
                  <c:v>160.63333333333335</c:v>
                </c:pt>
                <c:pt idx="2">
                  <c:v>161.06666666666669</c:v>
                </c:pt>
                <c:pt idx="3">
                  <c:v>161.70000000000002</c:v>
                </c:pt>
                <c:pt idx="4">
                  <c:v>165.10000000000002</c:v>
                </c:pt>
                <c:pt idx="5">
                  <c:v>165.6</c:v>
                </c:pt>
                <c:pt idx="6">
                  <c:v>166.29999999999998</c:v>
                </c:pt>
                <c:pt idx="7">
                  <c:v>167.43333333333337</c:v>
                </c:pt>
                <c:pt idx="8">
                  <c:v>167.70000000000002</c:v>
                </c:pt>
                <c:pt idx="9">
                  <c:v>168.36666666666667</c:v>
                </c:pt>
                <c:pt idx="10">
                  <c:v>169.16666666666666</c:v>
                </c:pt>
                <c:pt idx="11">
                  <c:v>169.9</c:v>
                </c:pt>
                <c:pt idx="12">
                  <c:v>170.73333333333335</c:v>
                </c:pt>
                <c:pt idx="13">
                  <c:v>171.56666666666669</c:v>
                </c:pt>
                <c:pt idx="14">
                  <c:v>172.4</c:v>
                </c:pt>
                <c:pt idx="15">
                  <c:v>173.33333333333334</c:v>
                </c:pt>
                <c:pt idx="16">
                  <c:v>174.19999999999996</c:v>
                </c:pt>
                <c:pt idx="17">
                  <c:v>174.83333333333334</c:v>
                </c:pt>
                <c:pt idx="18">
                  <c:v>175.5333333333333</c:v>
                </c:pt>
                <c:pt idx="19">
                  <c:v>176.26666666666665</c:v>
                </c:pt>
                <c:pt idx="20">
                  <c:v>177.26666666666665</c:v>
                </c:pt>
                <c:pt idx="21">
                  <c:v>178.19999999999996</c:v>
                </c:pt>
                <c:pt idx="22">
                  <c:v>179.30000000000004</c:v>
                </c:pt>
                <c:pt idx="23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AB-4759-9C8E-6F317D5C2271}"/>
            </c:ext>
          </c:extLst>
        </c:ser>
        <c:ser>
          <c:idx val="5"/>
          <c:order val="5"/>
          <c:tx>
            <c:strRef>
              <c:f>' 5 Objective'!$H$8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Objective'!$H$9:$H$32</c:f>
              <c:numCache>
                <c:formatCode>0</c:formatCode>
                <c:ptCount val="24"/>
                <c:pt idx="0">
                  <c:v>161.33333333333334</c:v>
                </c:pt>
                <c:pt idx="1">
                  <c:v>157.46666666666667</c:v>
                </c:pt>
                <c:pt idx="2">
                  <c:v>157.20000000000002</c:v>
                </c:pt>
                <c:pt idx="3">
                  <c:v>158.53333333333333</c:v>
                </c:pt>
                <c:pt idx="4">
                  <c:v>161.19999999999999</c:v>
                </c:pt>
                <c:pt idx="5">
                  <c:v>163.1</c:v>
                </c:pt>
                <c:pt idx="6">
                  <c:v>164.53333333333333</c:v>
                </c:pt>
                <c:pt idx="7">
                  <c:v>164.36666666666667</c:v>
                </c:pt>
                <c:pt idx="8">
                  <c:v>164.46666666666667</c:v>
                </c:pt>
                <c:pt idx="9">
                  <c:v>168.23333333333332</c:v>
                </c:pt>
                <c:pt idx="10">
                  <c:v>170.23333333333332</c:v>
                </c:pt>
                <c:pt idx="11">
                  <c:v>168.73333333333332</c:v>
                </c:pt>
                <c:pt idx="12">
                  <c:v>166.93333333333337</c:v>
                </c:pt>
                <c:pt idx="13">
                  <c:v>166.76666666666665</c:v>
                </c:pt>
                <c:pt idx="14">
                  <c:v>168.83333333333334</c:v>
                </c:pt>
                <c:pt idx="15">
                  <c:v>171.29999999999998</c:v>
                </c:pt>
                <c:pt idx="16">
                  <c:v>173.86666666666667</c:v>
                </c:pt>
                <c:pt idx="17">
                  <c:v>175.53333333333333</c:v>
                </c:pt>
                <c:pt idx="18">
                  <c:v>175.63333333333333</c:v>
                </c:pt>
                <c:pt idx="19">
                  <c:v>176.86666666666667</c:v>
                </c:pt>
                <c:pt idx="20">
                  <c:v>178.36666666666667</c:v>
                </c:pt>
                <c:pt idx="21">
                  <c:v>180.1</c:v>
                </c:pt>
                <c:pt idx="22">
                  <c:v>178.73333333333335</c:v>
                </c:pt>
                <c:pt idx="23">
                  <c:v>176.29999999999998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AB-4759-9C8E-6F317D5C2271}"/>
            </c:ext>
          </c:extLst>
        </c:ser>
        <c:ser>
          <c:idx val="6"/>
          <c:order val="6"/>
          <c:tx>
            <c:strRef>
              <c:f>' 5 Objective'!$I$8</c:f>
              <c:strCache>
                <c:ptCount val="1"/>
                <c:pt idx="0">
                  <c:v>Education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Objective'!$I$9:$I$32</c:f>
              <c:numCache>
                <c:formatCode>0</c:formatCode>
                <c:ptCount val="24"/>
                <c:pt idx="0">
                  <c:v>159.6</c:v>
                </c:pt>
                <c:pt idx="1">
                  <c:v>159.9</c:v>
                </c:pt>
                <c:pt idx="2">
                  <c:v>160.53333333333333</c:v>
                </c:pt>
                <c:pt idx="3">
                  <c:v>160.66666666666666</c:v>
                </c:pt>
                <c:pt idx="4">
                  <c:v>161.79999999999998</c:v>
                </c:pt>
                <c:pt idx="5">
                  <c:v>162.19999999999999</c:v>
                </c:pt>
                <c:pt idx="6">
                  <c:v>163.56666666666666</c:v>
                </c:pt>
                <c:pt idx="7">
                  <c:v>163.9</c:v>
                </c:pt>
                <c:pt idx="8">
                  <c:v>164.16666666666666</c:v>
                </c:pt>
                <c:pt idx="9">
                  <c:v>164.4</c:v>
                </c:pt>
                <c:pt idx="10">
                  <c:v>164.8</c:v>
                </c:pt>
                <c:pt idx="11">
                  <c:v>164.9</c:v>
                </c:pt>
                <c:pt idx="12">
                  <c:v>165.20000000000002</c:v>
                </c:pt>
                <c:pt idx="13">
                  <c:v>165.9</c:v>
                </c:pt>
                <c:pt idx="14">
                  <c:v>166.43333333333331</c:v>
                </c:pt>
                <c:pt idx="15">
                  <c:v>167.26666666666665</c:v>
                </c:pt>
                <c:pt idx="16">
                  <c:v>168.3</c:v>
                </c:pt>
                <c:pt idx="17">
                  <c:v>169.36666666666667</c:v>
                </c:pt>
                <c:pt idx="18">
                  <c:v>171.73333333333335</c:v>
                </c:pt>
                <c:pt idx="19">
                  <c:v>172.63333333333335</c:v>
                </c:pt>
                <c:pt idx="20">
                  <c:v>173.4</c:v>
                </c:pt>
                <c:pt idx="21">
                  <c:v>173.70000000000002</c:v>
                </c:pt>
                <c:pt idx="22">
                  <c:v>174.03333333333333</c:v>
                </c:pt>
                <c:pt idx="23">
                  <c:v>174.4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AB-4759-9C8E-6F317D5C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939296"/>
        <c:axId val="1596943136"/>
      </c:lineChart>
      <c:dateAx>
        <c:axId val="1596939296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38100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43136"/>
        <c:crosses val="autoZero"/>
        <c:auto val="1"/>
        <c:lblOffset val="100"/>
        <c:baseTimeUnit val="months"/>
      </c:dateAx>
      <c:valAx>
        <c:axId val="159694313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96939296"/>
        <c:crosses val="autoZero"/>
        <c:crossBetween val="between"/>
      </c:valAx>
      <c:spPr>
        <a:noFill/>
        <a:ln cap="rnd">
          <a:noFill/>
          <a:miter lim="800000"/>
        </a:ln>
        <a:effectLst>
          <a:glow>
            <a:schemeClr val="accent1">
              <a:alpha val="8000"/>
            </a:schemeClr>
          </a:glow>
        </a:effectLst>
      </c:spPr>
    </c:plotArea>
    <c:legend>
      <c:legendPos val="b"/>
      <c:overlay val="0"/>
      <c:spPr>
        <a:noFill/>
        <a:ln>
          <a:solidFill>
            <a:schemeClr val="tx1">
              <a:lumMod val="15000"/>
              <a:lumOff val="85000"/>
              <a:alpha val="86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5555555555555552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 Objective'!$B$18:$B$23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 Objective'!$C$18:$C$23</c:f>
              <c:numCache>
                <c:formatCode>0%</c:formatCode>
                <c:ptCount val="6"/>
                <c:pt idx="0">
                  <c:v>5.2752880921895069E-2</c:v>
                </c:pt>
                <c:pt idx="1">
                  <c:v>2.3641238118450029E-2</c:v>
                </c:pt>
                <c:pt idx="2">
                  <c:v>7.7400860009555747E-2</c:v>
                </c:pt>
                <c:pt idx="3">
                  <c:v>5.8183433266711188E-2</c:v>
                </c:pt>
                <c:pt idx="4">
                  <c:v>5.6379821958456838E-2</c:v>
                </c:pt>
                <c:pt idx="5">
                  <c:v>5.994769664051483E-2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4-4D29-A90C-4A6A6CB4B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6551360"/>
        <c:axId val="1426553760"/>
      </c:barChart>
      <c:catAx>
        <c:axId val="14265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53760"/>
        <c:crosses val="autoZero"/>
        <c:auto val="1"/>
        <c:lblAlgn val="ctr"/>
        <c:lblOffset val="100"/>
        <c:noMultiLvlLbl val="0"/>
      </c:catAx>
      <c:valAx>
        <c:axId val="14265537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65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 w="25400"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Objective'!$B$38</c:f>
              <c:strCache>
                <c:ptCount val="1"/>
                <c:pt idx="0">
                  <c:v>Jun-22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Objective'!$C$38</c:f>
              <c:numCache>
                <c:formatCode>0.0%</c:formatCode>
                <c:ptCount val="1"/>
                <c:pt idx="0">
                  <c:v>1.1009368549197865E-2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9-4CE2-A5B2-94C257DEC9AD}"/>
            </c:ext>
          </c:extLst>
        </c:ser>
        <c:ser>
          <c:idx val="1"/>
          <c:order val="1"/>
          <c:tx>
            <c:strRef>
              <c:f>'3 Objective'!$B$39</c:f>
              <c:strCache>
                <c:ptCount val="1"/>
                <c:pt idx="0">
                  <c:v>Jul-22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Objective'!$C$39</c:f>
              <c:numCache>
                <c:formatCode>0.0%</c:formatCode>
                <c:ptCount val="1"/>
                <c:pt idx="0">
                  <c:v>1.3611852782577545E-3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9-4CE2-A5B2-94C257DEC9AD}"/>
            </c:ext>
          </c:extLst>
        </c:ser>
        <c:ser>
          <c:idx val="2"/>
          <c:order val="2"/>
          <c:tx>
            <c:strRef>
              <c:f>'3 Objective'!$B$40</c:f>
              <c:strCache>
                <c:ptCount val="1"/>
                <c:pt idx="0">
                  <c:v>Aug-22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Objective'!$C$40</c:f>
              <c:numCache>
                <c:formatCode>0.0%</c:formatCode>
                <c:ptCount val="1"/>
                <c:pt idx="0">
                  <c:v>7.3194960004197734E-4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F9-4CE2-A5B2-94C257DEC9AD}"/>
            </c:ext>
          </c:extLst>
        </c:ser>
        <c:ser>
          <c:idx val="3"/>
          <c:order val="3"/>
          <c:tx>
            <c:strRef>
              <c:f>'3 Objective'!$B$41</c:f>
              <c:strCache>
                <c:ptCount val="1"/>
                <c:pt idx="0">
                  <c:v>Sep-22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Objective'!$C$41</c:f>
              <c:numCache>
                <c:formatCode>0.0%</c:formatCode>
                <c:ptCount val="1"/>
                <c:pt idx="0">
                  <c:v>5.224387440572251E-3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F9-4CE2-A5B2-94C257DEC9AD}"/>
            </c:ext>
          </c:extLst>
        </c:ser>
        <c:ser>
          <c:idx val="4"/>
          <c:order val="4"/>
          <c:tx>
            <c:strRef>
              <c:f>'3 Objective'!$B$42</c:f>
              <c:strCache>
                <c:ptCount val="1"/>
                <c:pt idx="0">
                  <c:v>Oct-22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Objective'!$C$42</c:f>
              <c:numCache>
                <c:formatCode>0.0%</c:formatCode>
                <c:ptCount val="1"/>
                <c:pt idx="0">
                  <c:v>7.795852606413611E-3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F9-4CE2-A5B2-94C257DEC9AD}"/>
            </c:ext>
          </c:extLst>
        </c:ser>
        <c:ser>
          <c:idx val="5"/>
          <c:order val="5"/>
          <c:tx>
            <c:strRef>
              <c:f>'3 Objective'!$B$43</c:f>
              <c:strCache>
                <c:ptCount val="1"/>
                <c:pt idx="0">
                  <c:v>Nov-22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Objective'!$C$43</c:f>
              <c:numCache>
                <c:formatCode>0.0%</c:formatCode>
                <c:ptCount val="1"/>
                <c:pt idx="0">
                  <c:v>-1.1345469547729295E-3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F9-4CE2-A5B2-94C257DEC9AD}"/>
            </c:ext>
          </c:extLst>
        </c:ser>
        <c:ser>
          <c:idx val="6"/>
          <c:order val="6"/>
          <c:tx>
            <c:strRef>
              <c:f>'3 Objective'!$B$44</c:f>
              <c:strCache>
                <c:ptCount val="1"/>
                <c:pt idx="0">
                  <c:v>Dec-22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Objective'!$C$44</c:f>
              <c:numCache>
                <c:formatCode>0.0%</c:formatCode>
                <c:ptCount val="1"/>
                <c:pt idx="0">
                  <c:v>-7.6410759460992681E-3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F9-4CE2-A5B2-94C257DEC9AD}"/>
            </c:ext>
          </c:extLst>
        </c:ser>
        <c:ser>
          <c:idx val="7"/>
          <c:order val="7"/>
          <c:tx>
            <c:strRef>
              <c:f>'3 Objective'!$B$45</c:f>
              <c:strCache>
                <c:ptCount val="1"/>
                <c:pt idx="0">
                  <c:v>Jan-23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Objective'!$C$45</c:f>
              <c:numCache>
                <c:formatCode>0.0%</c:formatCode>
                <c:ptCount val="1"/>
                <c:pt idx="0">
                  <c:v>4.1621143540919968E-3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F9-4CE2-A5B2-94C257DEC9AD}"/>
            </c:ext>
          </c:extLst>
        </c:ser>
        <c:ser>
          <c:idx val="8"/>
          <c:order val="8"/>
          <c:tx>
            <c:strRef>
              <c:f>'3 Objective'!$B$46</c:f>
              <c:strCache>
                <c:ptCount val="1"/>
                <c:pt idx="0">
                  <c:v>Feb-23</c:v>
                </c:pt>
              </c:strCache>
            </c:strRef>
          </c:tx>
          <c:spPr>
            <a:solidFill>
              <a:schemeClr val="accent3">
                <a:lumMod val="60000"/>
                <a:alpha val="88000"/>
              </a:schemeClr>
            </a:solidFill>
            <a:ln>
              <a:solidFill>
                <a:schemeClr val="accent3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Objective'!$C$46</c:f>
              <c:numCache>
                <c:formatCode>0.0%</c:formatCode>
                <c:ptCount val="1"/>
                <c:pt idx="0">
                  <c:v>-8.4451582819543951E-3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9-4CE2-A5B2-94C257DEC9AD}"/>
            </c:ext>
          </c:extLst>
        </c:ser>
        <c:ser>
          <c:idx val="9"/>
          <c:order val="9"/>
          <c:tx>
            <c:strRef>
              <c:f>'3 Objective'!$B$47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4">
                <a:lumMod val="60000"/>
                <a:alpha val="88000"/>
              </a:schemeClr>
            </a:solidFill>
            <a:ln>
              <a:solidFill>
                <a:schemeClr val="accent4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Objective'!$C$47</c:f>
              <c:numCache>
                <c:formatCode>0.0%</c:formatCode>
                <c:ptCount val="1"/>
                <c:pt idx="0">
                  <c:v>5.2252063956315396E-5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F9-4CE2-A5B2-94C257DEC9AD}"/>
            </c:ext>
          </c:extLst>
        </c:ser>
        <c:ser>
          <c:idx val="10"/>
          <c:order val="10"/>
          <c:tx>
            <c:strRef>
              <c:f>'3 Objective'!$B$48</c:f>
              <c:strCache>
                <c:ptCount val="1"/>
                <c:pt idx="0">
                  <c:v>Apr-23</c:v>
                </c:pt>
              </c:strCache>
            </c:strRef>
          </c:tx>
          <c:spPr>
            <a:solidFill>
              <a:schemeClr val="accent5">
                <a:lumMod val="60000"/>
                <a:alpha val="88000"/>
              </a:schemeClr>
            </a:solidFill>
            <a:ln>
              <a:solidFill>
                <a:schemeClr val="accent5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Objective'!$C$48</c:f>
              <c:numCache>
                <c:formatCode>0.0%</c:formatCode>
                <c:ptCount val="1"/>
                <c:pt idx="0">
                  <c:v>4.8591880453527402E-3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F9-4CE2-A5B2-94C257DEC9AD}"/>
            </c:ext>
          </c:extLst>
        </c:ser>
        <c:ser>
          <c:idx val="11"/>
          <c:order val="11"/>
          <c:tx>
            <c:strRef>
              <c:f>'3 Objective'!$B$49</c:f>
              <c:strCache>
                <c:ptCount val="1"/>
                <c:pt idx="0">
                  <c:v>May-23</c:v>
                </c:pt>
              </c:strCache>
            </c:strRef>
          </c:tx>
          <c:spPr>
            <a:solidFill>
              <a:schemeClr val="accent6">
                <a:lumMod val="60000"/>
                <a:alpha val="88000"/>
              </a:schemeClr>
            </a:solidFill>
            <a:ln>
              <a:solidFill>
                <a:schemeClr val="accent6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 Objective'!$C$49</c:f>
              <c:numCache>
                <c:formatCode>0.0%</c:formatCode>
                <c:ptCount val="1"/>
                <c:pt idx="0">
                  <c:v>8.3714642262892169E-3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F9-4CE2-A5B2-94C257DEC9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24023760"/>
        <c:axId val="1124025200"/>
        <c:axId val="0"/>
      </c:bar3DChart>
      <c:catAx>
        <c:axId val="112402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4025200"/>
        <c:crosses val="autoZero"/>
        <c:auto val="1"/>
        <c:lblAlgn val="ctr"/>
        <c:lblOffset val="100"/>
        <c:noMultiLvlLbl val="0"/>
      </c:catAx>
      <c:valAx>
        <c:axId val="1124025200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1240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59827590302737"/>
          <c:y val="0.89117419950654864"/>
          <c:w val="0.75396491780632624"/>
          <c:h val="8.62127396405769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Objective'!$C$57</c:f>
              <c:strCache>
                <c:ptCount val="1"/>
                <c:pt idx="0">
                  <c:v> Oils and fats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Objective'!$D$57</c:f>
              <c:numCache>
                <c:formatCode>0%</c:formatCode>
                <c:ptCount val="1"/>
                <c:pt idx="0">
                  <c:v>-0.17196654140370343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D-46A3-B293-950FA4C9E371}"/>
            </c:ext>
          </c:extLst>
        </c:ser>
        <c:ser>
          <c:idx val="1"/>
          <c:order val="1"/>
          <c:tx>
            <c:strRef>
              <c:f>'3 Objective'!$C$58</c:f>
              <c:strCache>
                <c:ptCount val="1"/>
                <c:pt idx="0">
                  <c:v> Cereals and product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Objective'!$D$58</c:f>
              <c:numCache>
                <c:formatCode>0%</c:formatCode>
                <c:ptCount val="1"/>
                <c:pt idx="0">
                  <c:v>0.12085220029035372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D-46A3-B293-950FA4C9E371}"/>
            </c:ext>
          </c:extLst>
        </c:ser>
        <c:ser>
          <c:idx val="2"/>
          <c:order val="2"/>
          <c:tx>
            <c:strRef>
              <c:f>'3 Objective'!$C$59</c:f>
              <c:strCache>
                <c:ptCount val="1"/>
                <c:pt idx="0">
                  <c:v> Meat and fish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Objective'!$D$59</c:f>
              <c:numCache>
                <c:formatCode>0%</c:formatCode>
                <c:ptCount val="1"/>
                <c:pt idx="0">
                  <c:v>-1.0960038075584964E-2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D-46A3-B293-950FA4C9E371}"/>
            </c:ext>
          </c:extLst>
        </c:ser>
        <c:ser>
          <c:idx val="3"/>
          <c:order val="3"/>
          <c:tx>
            <c:strRef>
              <c:f>'3 Objective'!$C$60</c:f>
              <c:strCache>
                <c:ptCount val="1"/>
                <c:pt idx="0">
                  <c:v> Milk and products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Objective'!$D$60</c:f>
              <c:numCache>
                <c:formatCode>0%</c:formatCode>
                <c:ptCount val="1"/>
                <c:pt idx="0">
                  <c:v>8.5207275393248891E-2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D-46A3-B293-950FA4C9E371}"/>
            </c:ext>
          </c:extLst>
        </c:ser>
        <c:ser>
          <c:idx val="4"/>
          <c:order val="4"/>
          <c:tx>
            <c:strRef>
              <c:f>'3 Objective'!$C$61</c:f>
              <c:strCache>
                <c:ptCount val="1"/>
                <c:pt idx="0">
                  <c:v> Fruits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Objective'!$D$61</c:f>
              <c:numCache>
                <c:formatCode>0%</c:formatCode>
                <c:ptCount val="1"/>
                <c:pt idx="0">
                  <c:v>1.212892331833881E-2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D-46A3-B293-950FA4C9E371}"/>
            </c:ext>
          </c:extLst>
        </c:ser>
        <c:ser>
          <c:idx val="5"/>
          <c:order val="5"/>
          <c:tx>
            <c:strRef>
              <c:f>'3 Objective'!$C$62</c:f>
              <c:strCache>
                <c:ptCount val="1"/>
                <c:pt idx="0">
                  <c:v> Egg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Objective'!$D$62</c:f>
              <c:numCache>
                <c:formatCode>0%</c:formatCode>
                <c:ptCount val="1"/>
                <c:pt idx="0">
                  <c:v>7.5858020928857975E-2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D-46A3-B293-950FA4C9E371}"/>
            </c:ext>
          </c:extLst>
        </c:ser>
        <c:ser>
          <c:idx val="6"/>
          <c:order val="6"/>
          <c:tx>
            <c:strRef>
              <c:f>'3 Objective'!$C$63</c:f>
              <c:strCache>
                <c:ptCount val="1"/>
                <c:pt idx="0">
                  <c:v> Vegetables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Objective'!$D$63</c:f>
              <c:numCache>
                <c:formatCode>0%</c:formatCode>
                <c:ptCount val="1"/>
                <c:pt idx="0">
                  <c:v>-6.6466572857876549E-2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D-46A3-B293-950FA4C9E371}"/>
            </c:ext>
          </c:extLst>
        </c:ser>
        <c:ser>
          <c:idx val="7"/>
          <c:order val="7"/>
          <c:tx>
            <c:strRef>
              <c:f>'3 Objective'!$C$64</c:f>
              <c:strCache>
                <c:ptCount val="1"/>
                <c:pt idx="0">
                  <c:v> Pulses and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Objective'!$D$64</c:f>
              <c:numCache>
                <c:formatCode>0%</c:formatCode>
                <c:ptCount val="1"/>
                <c:pt idx="0">
                  <c:v>6.4492479670082731E-2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4D-46A3-B293-950FA4C9E371}"/>
            </c:ext>
          </c:extLst>
        </c:ser>
        <c:ser>
          <c:idx val="8"/>
          <c:order val="8"/>
          <c:tx>
            <c:strRef>
              <c:f>'3 Objective'!$C$65</c:f>
              <c:strCache>
                <c:ptCount val="1"/>
                <c:pt idx="0">
                  <c:v> Sugar and Confectio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Objective'!$D$65</c:f>
              <c:numCache>
                <c:formatCode>0%</c:formatCode>
                <c:ptCount val="1"/>
                <c:pt idx="0">
                  <c:v>2.4990010110495772E-2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4D-46A3-B293-950FA4C9E371}"/>
            </c:ext>
          </c:extLst>
        </c:ser>
        <c:ser>
          <c:idx val="9"/>
          <c:order val="9"/>
          <c:tx>
            <c:strRef>
              <c:f>'3 Objective'!$C$66</c:f>
              <c:strCache>
                <c:ptCount val="1"/>
                <c:pt idx="0">
                  <c:v>Spices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Objective'!$D$66</c:f>
              <c:numCache>
                <c:formatCode>0%</c:formatCode>
                <c:ptCount val="1"/>
                <c:pt idx="0">
                  <c:v>0.16602381892132637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4D-46A3-B293-950FA4C9E371}"/>
            </c:ext>
          </c:extLst>
        </c:ser>
        <c:ser>
          <c:idx val="10"/>
          <c:order val="10"/>
          <c:tx>
            <c:strRef>
              <c:f>'3 Objective'!$C$67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 Objective'!$D$67</c:f>
              <c:numCache>
                <c:formatCode>0%</c:formatCode>
                <c:ptCount val="1"/>
                <c:pt idx="0">
                  <c:v>3.3242003192595196E-2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4D-46A3-B293-950FA4C9E3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6657040"/>
        <c:axId val="1596657520"/>
      </c:barChart>
      <c:catAx>
        <c:axId val="1596657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6657520"/>
        <c:crosses val="autoZero"/>
        <c:auto val="1"/>
        <c:lblAlgn val="ctr"/>
        <c:lblOffset val="100"/>
        <c:noMultiLvlLbl val="0"/>
      </c:catAx>
      <c:valAx>
        <c:axId val="1596657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966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660524152783316E-2"/>
          <c:y val="0.77772034544069091"/>
          <c:w val="0.97469750465921401"/>
          <c:h val="0.19808610617221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Objective'!$B$31</c:f>
              <c:strCache>
                <c:ptCount val="1"/>
                <c:pt idx="0">
                  <c:v>Change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 Objective'!$A$32:$A$52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Objective'!$B$32:$B$52</c:f>
              <c:numCache>
                <c:formatCode>0%</c:formatCode>
                <c:ptCount val="21"/>
                <c:pt idx="0">
                  <c:v>2.696083475683942E-3</c:v>
                </c:pt>
                <c:pt idx="1">
                  <c:v>4.2898193760262208E-3</c:v>
                </c:pt>
                <c:pt idx="2">
                  <c:v>1.8802755012364971E-2</c:v>
                </c:pt>
                <c:pt idx="3">
                  <c:v>1.3139681839153925E-2</c:v>
                </c:pt>
                <c:pt idx="4">
                  <c:v>1.3602882939965344E-2</c:v>
                </c:pt>
                <c:pt idx="5">
                  <c:v>5.4306421050576504E-3</c:v>
                </c:pt>
                <c:pt idx="6">
                  <c:v>6.0036138257977606E-3</c:v>
                </c:pt>
                <c:pt idx="7">
                  <c:v>1.6107227007609387E-2</c:v>
                </c:pt>
                <c:pt idx="8">
                  <c:v>1.4027218125142828E-2</c:v>
                </c:pt>
                <c:pt idx="9">
                  <c:v>1.9287722586691567E-2</c:v>
                </c:pt>
                <c:pt idx="10">
                  <c:v>-3.7514481693300471E-3</c:v>
                </c:pt>
                <c:pt idx="11">
                  <c:v>-1.6169820027688072E-2</c:v>
                </c:pt>
                <c:pt idx="12">
                  <c:v>-9.3998011219721678E-3</c:v>
                </c:pt>
                <c:pt idx="13">
                  <c:v>3.9310201143982759E-2</c:v>
                </c:pt>
                <c:pt idx="14">
                  <c:v>1.5216816860596145E-3</c:v>
                </c:pt>
                <c:pt idx="15">
                  <c:v>0</c:v>
                </c:pt>
                <c:pt idx="16">
                  <c:v>1.4993540404316118E-2</c:v>
                </c:pt>
                <c:pt idx="17">
                  <c:v>5.8442838959501158E-3</c:v>
                </c:pt>
                <c:pt idx="18">
                  <c:v>2.1102536225426436E-2</c:v>
                </c:pt>
                <c:pt idx="19">
                  <c:v>2.2970449110680625E-2</c:v>
                </c:pt>
                <c:pt idx="20">
                  <c:v>4.8458375279401894E-3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C-4582-9E62-3DE50951DE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6273952"/>
        <c:axId val="2076281152"/>
      </c:scatterChart>
      <c:valAx>
        <c:axId val="20762739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81152"/>
        <c:crosses val="autoZero"/>
        <c:crossBetween val="midCat"/>
      </c:valAx>
      <c:valAx>
        <c:axId val="20762811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7627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 Objective'!$D$61:$D$81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Objective'!$E$61:$E$81</c:f>
              <c:numCache>
                <c:formatCode>0%</c:formatCode>
                <c:ptCount val="21"/>
                <c:pt idx="0">
                  <c:v>3.4682080924855496E-3</c:v>
                </c:pt>
                <c:pt idx="1">
                  <c:v>4.1474654377879798E-3</c:v>
                </c:pt>
                <c:pt idx="2">
                  <c:v>5.048187241854362E-3</c:v>
                </c:pt>
                <c:pt idx="3">
                  <c:v>3.1963470319632879E-3</c:v>
                </c:pt>
                <c:pt idx="4">
                  <c:v>3.4137460172963133E-3</c:v>
                </c:pt>
                <c:pt idx="5">
                  <c:v>4.0825584032660083E-3</c:v>
                </c:pt>
                <c:pt idx="6">
                  <c:v>3.6141856787892351E-3</c:v>
                </c:pt>
                <c:pt idx="7">
                  <c:v>2.7008777852802544E-3</c:v>
                </c:pt>
                <c:pt idx="8">
                  <c:v>3.3670033670035585E-3</c:v>
                </c:pt>
                <c:pt idx="9">
                  <c:v>3.1319910514539602E-3</c:v>
                </c:pt>
                <c:pt idx="10">
                  <c:v>5.1293487957180077E-3</c:v>
                </c:pt>
                <c:pt idx="11">
                  <c:v>3.5500332815621917E-3</c:v>
                </c:pt>
                <c:pt idx="12">
                  <c:v>3.7585673225734879E-3</c:v>
                </c:pt>
                <c:pt idx="13">
                  <c:v>-9.2511013215859396E-3</c:v>
                </c:pt>
                <c:pt idx="14">
                  <c:v>2.4232992441084875E-2</c:v>
                </c:pt>
                <c:pt idx="15">
                  <c:v>0</c:v>
                </c:pt>
                <c:pt idx="16">
                  <c:v>3.9070978945083198E-3</c:v>
                </c:pt>
                <c:pt idx="17">
                  <c:v>4.7567567567568551E-3</c:v>
                </c:pt>
                <c:pt idx="18">
                  <c:v>4.5190445448675832E-3</c:v>
                </c:pt>
                <c:pt idx="19">
                  <c:v>5.9982862039417552E-3</c:v>
                </c:pt>
                <c:pt idx="20">
                  <c:v>6.8143100511074825E-3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B-4BAD-9274-F86F12767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247072"/>
        <c:axId val="2076254752"/>
      </c:scatterChart>
      <c:valAx>
        <c:axId val="207624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54752"/>
        <c:crosses val="autoZero"/>
        <c:crossBetween val="midCat"/>
      </c:valAx>
      <c:valAx>
        <c:axId val="20762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4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essential services.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 Objective'!$E$92:$E$112</c:f>
              <c:numCache>
                <c:formatCode>mmm\-yy</c:formatCode>
                <c:ptCount val="21"/>
                <c:pt idx="0">
                  <c:v>43497</c:v>
                </c:pt>
                <c:pt idx="1">
                  <c:v>43525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</c:numCache>
            </c:numRef>
          </c:xVal>
          <c:yVal>
            <c:numRef>
              <c:f>'4 Objective'!$F$92:$F$112</c:f>
              <c:numCache>
                <c:formatCode>0%</c:formatCode>
                <c:ptCount val="21"/>
                <c:pt idx="0">
                  <c:v>-2.1661569826707293E-3</c:v>
                </c:pt>
                <c:pt idx="1">
                  <c:v>7.9172519473883502E-3</c:v>
                </c:pt>
                <c:pt idx="2">
                  <c:v>3.1673634866338706E-3</c:v>
                </c:pt>
                <c:pt idx="3">
                  <c:v>2.6521848951755063E-3</c:v>
                </c:pt>
                <c:pt idx="4">
                  <c:v>-4.2826552462526483E-3</c:v>
                </c:pt>
                <c:pt idx="5">
                  <c:v>-2.6565464895637399E-3</c:v>
                </c:pt>
                <c:pt idx="6">
                  <c:v>4.058853373921853E-3</c:v>
                </c:pt>
                <c:pt idx="7">
                  <c:v>6.442647801920335E-3</c:v>
                </c:pt>
                <c:pt idx="8">
                  <c:v>8.2841722103677243E-3</c:v>
                </c:pt>
                <c:pt idx="9">
                  <c:v>1.7303622556952544E-2</c:v>
                </c:pt>
                <c:pt idx="10">
                  <c:v>7.5868820362214387E-3</c:v>
                </c:pt>
                <c:pt idx="11">
                  <c:v>7.8940976439153335E-3</c:v>
                </c:pt>
                <c:pt idx="12">
                  <c:v>4.9403542595493708E-3</c:v>
                </c:pt>
                <c:pt idx="13">
                  <c:v>-7.6738609112709556E-3</c:v>
                </c:pt>
                <c:pt idx="14">
                  <c:v>2.4166263895600364E-3</c:v>
                </c:pt>
                <c:pt idx="15">
                  <c:v>0</c:v>
                </c:pt>
                <c:pt idx="16">
                  <c:v>1.6272902603664419E-2</c:v>
                </c:pt>
                <c:pt idx="17">
                  <c:v>3.2024670857548716E-3</c:v>
                </c:pt>
                <c:pt idx="18">
                  <c:v>4.2563253724286322E-3</c:v>
                </c:pt>
                <c:pt idx="19">
                  <c:v>8.2411113727342297E-4</c:v>
                </c:pt>
                <c:pt idx="20">
                  <c:v>4.3524291259852315E-3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F-4F44-9F2E-D5501ED70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268192"/>
        <c:axId val="2076283072"/>
      </c:scatterChart>
      <c:valAx>
        <c:axId val="207626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83072"/>
        <c:crosses val="autoZero"/>
        <c:crossBetween val="midCat"/>
      </c:valAx>
      <c:valAx>
        <c:axId val="207628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6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7"/>
          <c:order val="7"/>
          <c:tx>
            <c:strRef>
              <c:f>' 5 Objective'!$J$8</c:f>
              <c:strCache>
                <c:ptCount val="1"/>
                <c:pt idx="0">
                  <c:v>Highlight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 5 Objective'!$J$9:$J$32</c:f>
              <c:numCache>
                <c:formatCode>0</c:formatCode>
                <c:ptCount val="24"/>
                <c:pt idx="15">
                  <c:v>1150</c:v>
                </c:pt>
                <c:pt idx="16">
                  <c:v>1150</c:v>
                </c:pt>
                <c:pt idx="17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C86-491E-9947-8B28EE1FB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39296"/>
        <c:axId val="1596943136"/>
      </c:areaChart>
      <c:lineChart>
        <c:grouping val="stacked"/>
        <c:varyColors val="0"/>
        <c:ser>
          <c:idx val="0"/>
          <c:order val="0"/>
          <c:tx>
            <c:strRef>
              <c:f>' 5 Objective'!$C$8</c:f>
              <c:strCache>
                <c:ptCount val="1"/>
                <c:pt idx="0">
                  <c:v>Crud Oil prices In $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Objective'!$C$9:$C$32</c:f>
              <c:numCache>
                <c:formatCode>0</c:formatCode>
                <c:ptCount val="24"/>
                <c:pt idx="0">
                  <c:v>52.16</c:v>
                </c:pt>
                <c:pt idx="1">
                  <c:v>61.55</c:v>
                </c:pt>
                <c:pt idx="2">
                  <c:v>59.19</c:v>
                </c:pt>
                <c:pt idx="3">
                  <c:v>63.5</c:v>
                </c:pt>
                <c:pt idx="4">
                  <c:v>66.31</c:v>
                </c:pt>
                <c:pt idx="5">
                  <c:v>73.52</c:v>
                </c:pt>
                <c:pt idx="6">
                  <c:v>73.930000000000007</c:v>
                </c:pt>
                <c:pt idx="7">
                  <c:v>68.430000000000007</c:v>
                </c:pt>
                <c:pt idx="8">
                  <c:v>75.22</c:v>
                </c:pt>
                <c:pt idx="9">
                  <c:v>83.5</c:v>
                </c:pt>
                <c:pt idx="10">
                  <c:v>66.14</c:v>
                </c:pt>
                <c:pt idx="11">
                  <c:v>75.33</c:v>
                </c:pt>
                <c:pt idx="12">
                  <c:v>89.16</c:v>
                </c:pt>
                <c:pt idx="13">
                  <c:v>96.13</c:v>
                </c:pt>
                <c:pt idx="14">
                  <c:v>100.53</c:v>
                </c:pt>
                <c:pt idx="15">
                  <c:v>104.59</c:v>
                </c:pt>
                <c:pt idx="16">
                  <c:v>114.38</c:v>
                </c:pt>
                <c:pt idx="17">
                  <c:v>107.76</c:v>
                </c:pt>
                <c:pt idx="18">
                  <c:v>101.31</c:v>
                </c:pt>
                <c:pt idx="19">
                  <c:v>90.09</c:v>
                </c:pt>
                <c:pt idx="20">
                  <c:v>79.91</c:v>
                </c:pt>
                <c:pt idx="21">
                  <c:v>86.54</c:v>
                </c:pt>
                <c:pt idx="22">
                  <c:v>80.48</c:v>
                </c:pt>
                <c:pt idx="23">
                  <c:v>80.16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86-491E-9947-8B28EE1FB7F1}"/>
            </c:ext>
          </c:extLst>
        </c:ser>
        <c:ser>
          <c:idx val="1"/>
          <c:order val="1"/>
          <c:tx>
            <c:strRef>
              <c:f>' 5 Objective'!$D$8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Objective'!$D$9:$D$32</c:f>
              <c:numCache>
                <c:formatCode>0</c:formatCode>
                <c:ptCount val="24"/>
                <c:pt idx="0">
                  <c:v>147.23333333333335</c:v>
                </c:pt>
                <c:pt idx="1">
                  <c:v>151.96666666666667</c:v>
                </c:pt>
                <c:pt idx="2">
                  <c:v>155.43333333333334</c:v>
                </c:pt>
                <c:pt idx="3">
                  <c:v>155.5</c:v>
                </c:pt>
                <c:pt idx="4">
                  <c:v>158.86666666666665</c:v>
                </c:pt>
                <c:pt idx="5">
                  <c:v>159.33333333333334</c:v>
                </c:pt>
                <c:pt idx="6">
                  <c:v>160.29999999999998</c:v>
                </c:pt>
                <c:pt idx="7">
                  <c:v>162.13333333333333</c:v>
                </c:pt>
                <c:pt idx="8">
                  <c:v>162.36666666666665</c:v>
                </c:pt>
                <c:pt idx="9">
                  <c:v>163.96666666666667</c:v>
                </c:pt>
                <c:pt idx="10">
                  <c:v>163.6</c:v>
                </c:pt>
                <c:pt idx="11">
                  <c:v>163.79999999999998</c:v>
                </c:pt>
                <c:pt idx="12">
                  <c:v>163.86666666666665</c:v>
                </c:pt>
                <c:pt idx="13">
                  <c:v>165.36666666666667</c:v>
                </c:pt>
                <c:pt idx="14">
                  <c:v>166.86666666666667</c:v>
                </c:pt>
                <c:pt idx="15">
                  <c:v>172</c:v>
                </c:pt>
                <c:pt idx="16">
                  <c:v>174.4666666666667</c:v>
                </c:pt>
                <c:pt idx="17">
                  <c:v>175.86666666666665</c:v>
                </c:pt>
                <c:pt idx="18">
                  <c:v>179.56666666666669</c:v>
                </c:pt>
                <c:pt idx="19">
                  <c:v>178.76666666666668</c:v>
                </c:pt>
                <c:pt idx="20">
                  <c:v>179.46666666666667</c:v>
                </c:pt>
                <c:pt idx="21">
                  <c:v>180.43333333333331</c:v>
                </c:pt>
                <c:pt idx="22">
                  <c:v>181.16666666666666</c:v>
                </c:pt>
                <c:pt idx="23">
                  <c:v>181.80000000000004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86-491E-9947-8B28EE1FB7F1}"/>
            </c:ext>
          </c:extLst>
        </c:ser>
        <c:ser>
          <c:idx val="2"/>
          <c:order val="2"/>
          <c:tx>
            <c:strRef>
              <c:f>' 5 Objective'!$E$8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Objective'!$E$9:$E$32</c:f>
              <c:numCache>
                <c:formatCode>0</c:formatCode>
                <c:ptCount val="24"/>
                <c:pt idx="0">
                  <c:v>156.9</c:v>
                </c:pt>
                <c:pt idx="1">
                  <c:v>155.9</c:v>
                </c:pt>
                <c:pt idx="2">
                  <c:v>153.93333333333337</c:v>
                </c:pt>
                <c:pt idx="3">
                  <c:v>155.53333333333333</c:v>
                </c:pt>
                <c:pt idx="4">
                  <c:v>158.46666666666667</c:v>
                </c:pt>
                <c:pt idx="5">
                  <c:v>158.73333333333335</c:v>
                </c:pt>
                <c:pt idx="6">
                  <c:v>160.03333333333333</c:v>
                </c:pt>
                <c:pt idx="7">
                  <c:v>159.96666666666667</c:v>
                </c:pt>
                <c:pt idx="8">
                  <c:v>159.93333333333334</c:v>
                </c:pt>
                <c:pt idx="9">
                  <c:v>160.73333333333335</c:v>
                </c:pt>
                <c:pt idx="10">
                  <c:v>162.13333333333333</c:v>
                </c:pt>
                <c:pt idx="11">
                  <c:v>162.6</c:v>
                </c:pt>
                <c:pt idx="12">
                  <c:v>163</c:v>
                </c:pt>
                <c:pt idx="13">
                  <c:v>164.36666666666667</c:v>
                </c:pt>
                <c:pt idx="14">
                  <c:v>167.13333333333333</c:v>
                </c:pt>
                <c:pt idx="15">
                  <c:v>168.73333333333335</c:v>
                </c:pt>
                <c:pt idx="16">
                  <c:v>168.36666666666667</c:v>
                </c:pt>
                <c:pt idx="17">
                  <c:v>169.36666666666667</c:v>
                </c:pt>
                <c:pt idx="18">
                  <c:v>169.73333333333332</c:v>
                </c:pt>
                <c:pt idx="19">
                  <c:v>171.23333333333335</c:v>
                </c:pt>
                <c:pt idx="20">
                  <c:v>170.93333333333331</c:v>
                </c:pt>
                <c:pt idx="21">
                  <c:v>172.13333333333333</c:v>
                </c:pt>
                <c:pt idx="22">
                  <c:v>173.6</c:v>
                </c:pt>
                <c:pt idx="23">
                  <c:v>175.83333333333334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86-491E-9947-8B28EE1FB7F1}"/>
            </c:ext>
          </c:extLst>
        </c:ser>
        <c:ser>
          <c:idx val="3"/>
          <c:order val="3"/>
          <c:tx>
            <c:strRef>
              <c:f>' 5 Objective'!$F$8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Objective'!$F$9:$F$32</c:f>
              <c:numCache>
                <c:formatCode>0</c:formatCode>
                <c:ptCount val="24"/>
                <c:pt idx="0">
                  <c:v>142.1</c:v>
                </c:pt>
                <c:pt idx="1">
                  <c:v>145.26666666666668</c:v>
                </c:pt>
                <c:pt idx="2">
                  <c:v>146.4</c:v>
                </c:pt>
                <c:pt idx="3">
                  <c:v>146.79999999999998</c:v>
                </c:pt>
                <c:pt idx="4">
                  <c:v>149.03333333333333</c:v>
                </c:pt>
                <c:pt idx="5">
                  <c:v>150.79999999999998</c:v>
                </c:pt>
                <c:pt idx="6">
                  <c:v>153.23333333333335</c:v>
                </c:pt>
                <c:pt idx="7">
                  <c:v>154.03333333333333</c:v>
                </c:pt>
                <c:pt idx="8">
                  <c:v>154.1</c:v>
                </c:pt>
                <c:pt idx="9">
                  <c:v>155.79999999999998</c:v>
                </c:pt>
                <c:pt idx="10">
                  <c:v>154.96666666666667</c:v>
                </c:pt>
                <c:pt idx="11">
                  <c:v>155.86666666666667</c:v>
                </c:pt>
                <c:pt idx="12">
                  <c:v>156.66666666666666</c:v>
                </c:pt>
                <c:pt idx="13">
                  <c:v>157.06666666666666</c:v>
                </c:pt>
                <c:pt idx="14">
                  <c:v>158.03333333333333</c:v>
                </c:pt>
                <c:pt idx="15">
                  <c:v>162.69999999999999</c:v>
                </c:pt>
                <c:pt idx="16">
                  <c:v>163.16666666666666</c:v>
                </c:pt>
                <c:pt idx="17">
                  <c:v>161.26666666666665</c:v>
                </c:pt>
                <c:pt idx="18">
                  <c:v>161.76666666666668</c:v>
                </c:pt>
                <c:pt idx="19">
                  <c:v>162.06666666666669</c:v>
                </c:pt>
                <c:pt idx="20">
                  <c:v>162.46666666666667</c:v>
                </c:pt>
                <c:pt idx="21">
                  <c:v>163.03333333333333</c:v>
                </c:pt>
                <c:pt idx="22">
                  <c:v>163.13333333333333</c:v>
                </c:pt>
                <c:pt idx="23">
                  <c:v>163.53333333333333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86-491E-9947-8B28EE1FB7F1}"/>
            </c:ext>
          </c:extLst>
        </c:ser>
        <c:ser>
          <c:idx val="4"/>
          <c:order val="4"/>
          <c:tx>
            <c:strRef>
              <c:f>' 5 Objective'!$G$8</c:f>
              <c:strCache>
                <c:ptCount val="1"/>
                <c:pt idx="0">
                  <c:v>Health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Objective'!$G$9:$G$32</c:f>
              <c:numCache>
                <c:formatCode>0</c:formatCode>
                <c:ptCount val="24"/>
                <c:pt idx="0">
                  <c:v>158.63333333333333</c:v>
                </c:pt>
                <c:pt idx="1">
                  <c:v>160.63333333333335</c:v>
                </c:pt>
                <c:pt idx="2">
                  <c:v>161.06666666666669</c:v>
                </c:pt>
                <c:pt idx="3">
                  <c:v>161.70000000000002</c:v>
                </c:pt>
                <c:pt idx="4">
                  <c:v>165.10000000000002</c:v>
                </c:pt>
                <c:pt idx="5">
                  <c:v>165.6</c:v>
                </c:pt>
                <c:pt idx="6">
                  <c:v>166.29999999999998</c:v>
                </c:pt>
                <c:pt idx="7">
                  <c:v>167.43333333333337</c:v>
                </c:pt>
                <c:pt idx="8">
                  <c:v>167.70000000000002</c:v>
                </c:pt>
                <c:pt idx="9">
                  <c:v>168.36666666666667</c:v>
                </c:pt>
                <c:pt idx="10">
                  <c:v>169.16666666666666</c:v>
                </c:pt>
                <c:pt idx="11">
                  <c:v>169.9</c:v>
                </c:pt>
                <c:pt idx="12">
                  <c:v>170.73333333333335</c:v>
                </c:pt>
                <c:pt idx="13">
                  <c:v>171.56666666666669</c:v>
                </c:pt>
                <c:pt idx="14">
                  <c:v>172.4</c:v>
                </c:pt>
                <c:pt idx="15">
                  <c:v>173.33333333333334</c:v>
                </c:pt>
                <c:pt idx="16">
                  <c:v>174.19999999999996</c:v>
                </c:pt>
                <c:pt idx="17">
                  <c:v>174.83333333333334</c:v>
                </c:pt>
                <c:pt idx="18">
                  <c:v>175.5333333333333</c:v>
                </c:pt>
                <c:pt idx="19">
                  <c:v>176.26666666666665</c:v>
                </c:pt>
                <c:pt idx="20">
                  <c:v>177.26666666666665</c:v>
                </c:pt>
                <c:pt idx="21">
                  <c:v>178.19999999999996</c:v>
                </c:pt>
                <c:pt idx="22">
                  <c:v>179.30000000000004</c:v>
                </c:pt>
                <c:pt idx="23">
                  <c:v>180.6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86-491E-9947-8B28EE1FB7F1}"/>
            </c:ext>
          </c:extLst>
        </c:ser>
        <c:ser>
          <c:idx val="5"/>
          <c:order val="5"/>
          <c:tx>
            <c:strRef>
              <c:f>' 5 Objective'!$H$8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Objective'!$H$9:$H$32</c:f>
              <c:numCache>
                <c:formatCode>0</c:formatCode>
                <c:ptCount val="24"/>
                <c:pt idx="0">
                  <c:v>161.33333333333334</c:v>
                </c:pt>
                <c:pt idx="1">
                  <c:v>157.46666666666667</c:v>
                </c:pt>
                <c:pt idx="2">
                  <c:v>157.20000000000002</c:v>
                </c:pt>
                <c:pt idx="3">
                  <c:v>158.53333333333333</c:v>
                </c:pt>
                <c:pt idx="4">
                  <c:v>161.19999999999999</c:v>
                </c:pt>
                <c:pt idx="5">
                  <c:v>163.1</c:v>
                </c:pt>
                <c:pt idx="6">
                  <c:v>164.53333333333333</c:v>
                </c:pt>
                <c:pt idx="7">
                  <c:v>164.36666666666667</c:v>
                </c:pt>
                <c:pt idx="8">
                  <c:v>164.46666666666667</c:v>
                </c:pt>
                <c:pt idx="9">
                  <c:v>168.23333333333332</c:v>
                </c:pt>
                <c:pt idx="10">
                  <c:v>170.23333333333332</c:v>
                </c:pt>
                <c:pt idx="11">
                  <c:v>168.73333333333332</c:v>
                </c:pt>
                <c:pt idx="12">
                  <c:v>166.93333333333337</c:v>
                </c:pt>
                <c:pt idx="13">
                  <c:v>166.76666666666665</c:v>
                </c:pt>
                <c:pt idx="14">
                  <c:v>168.83333333333334</c:v>
                </c:pt>
                <c:pt idx="15">
                  <c:v>171.29999999999998</c:v>
                </c:pt>
                <c:pt idx="16">
                  <c:v>173.86666666666667</c:v>
                </c:pt>
                <c:pt idx="17">
                  <c:v>175.53333333333333</c:v>
                </c:pt>
                <c:pt idx="18">
                  <c:v>175.63333333333333</c:v>
                </c:pt>
                <c:pt idx="19">
                  <c:v>176.86666666666667</c:v>
                </c:pt>
                <c:pt idx="20">
                  <c:v>178.36666666666667</c:v>
                </c:pt>
                <c:pt idx="21">
                  <c:v>180.1</c:v>
                </c:pt>
                <c:pt idx="22">
                  <c:v>178.73333333333335</c:v>
                </c:pt>
                <c:pt idx="23">
                  <c:v>176.29999999999998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86-491E-9947-8B28EE1FB7F1}"/>
            </c:ext>
          </c:extLst>
        </c:ser>
        <c:ser>
          <c:idx val="6"/>
          <c:order val="6"/>
          <c:tx>
            <c:strRef>
              <c:f>' 5 Objective'!$I$8</c:f>
              <c:strCache>
                <c:ptCount val="1"/>
                <c:pt idx="0">
                  <c:v>Education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 5 Objective'!$B$9:$B$32</c:f>
              <c:numCache>
                <c:formatCode>[$-F800]dddd\,\ mmmm\ dd\,\ yyyy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' 5 Objective'!$I$9:$I$32</c:f>
              <c:numCache>
                <c:formatCode>0</c:formatCode>
                <c:ptCount val="24"/>
                <c:pt idx="0">
                  <c:v>159.6</c:v>
                </c:pt>
                <c:pt idx="1">
                  <c:v>159.9</c:v>
                </c:pt>
                <c:pt idx="2">
                  <c:v>160.53333333333333</c:v>
                </c:pt>
                <c:pt idx="3">
                  <c:v>160.66666666666666</c:v>
                </c:pt>
                <c:pt idx="4">
                  <c:v>161.79999999999998</c:v>
                </c:pt>
                <c:pt idx="5">
                  <c:v>162.19999999999999</c:v>
                </c:pt>
                <c:pt idx="6">
                  <c:v>163.56666666666666</c:v>
                </c:pt>
                <c:pt idx="7">
                  <c:v>163.9</c:v>
                </c:pt>
                <c:pt idx="8">
                  <c:v>164.16666666666666</c:v>
                </c:pt>
                <c:pt idx="9">
                  <c:v>164.4</c:v>
                </c:pt>
                <c:pt idx="10">
                  <c:v>164.8</c:v>
                </c:pt>
                <c:pt idx="11">
                  <c:v>164.9</c:v>
                </c:pt>
                <c:pt idx="12">
                  <c:v>165.20000000000002</c:v>
                </c:pt>
                <c:pt idx="13">
                  <c:v>165.9</c:v>
                </c:pt>
                <c:pt idx="14">
                  <c:v>166.43333333333331</c:v>
                </c:pt>
                <c:pt idx="15">
                  <c:v>167.26666666666665</c:v>
                </c:pt>
                <c:pt idx="16">
                  <c:v>168.3</c:v>
                </c:pt>
                <c:pt idx="17">
                  <c:v>169.36666666666667</c:v>
                </c:pt>
                <c:pt idx="18">
                  <c:v>171.73333333333335</c:v>
                </c:pt>
                <c:pt idx="19">
                  <c:v>172.63333333333335</c:v>
                </c:pt>
                <c:pt idx="20">
                  <c:v>173.4</c:v>
                </c:pt>
                <c:pt idx="21">
                  <c:v>173.70000000000002</c:v>
                </c:pt>
                <c:pt idx="22">
                  <c:v>174.03333333333333</c:v>
                </c:pt>
                <c:pt idx="23">
                  <c:v>174.4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86-491E-9947-8B28EE1FB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939296"/>
        <c:axId val="1596943136"/>
      </c:lineChart>
      <c:dateAx>
        <c:axId val="1596939296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38100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43136"/>
        <c:crosses val="autoZero"/>
        <c:auto val="1"/>
        <c:lblOffset val="100"/>
        <c:baseTimeUnit val="months"/>
      </c:dateAx>
      <c:valAx>
        <c:axId val="159694313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96939296"/>
        <c:crosses val="autoZero"/>
        <c:crossBetween val="between"/>
      </c:valAx>
      <c:spPr>
        <a:noFill/>
        <a:ln cap="rnd">
          <a:noFill/>
          <a:miter lim="800000"/>
        </a:ln>
        <a:effectLst>
          <a:glow>
            <a:schemeClr val="accent1">
              <a:alpha val="8000"/>
            </a:schemeClr>
          </a:glow>
        </a:effectLst>
      </c:spPr>
    </c:plotArea>
    <c:legend>
      <c:legendPos val="b"/>
      <c:overlay val="0"/>
      <c:spPr>
        <a:noFill/>
        <a:ln>
          <a:solidFill>
            <a:schemeClr val="tx1">
              <a:lumMod val="15000"/>
              <a:lumOff val="85000"/>
              <a:alpha val="86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20640</xdr:colOff>
      <xdr:row>3</xdr:row>
      <xdr:rowOff>184470</xdr:rowOff>
    </xdr:from>
    <xdr:to>
      <xdr:col>6</xdr:col>
      <xdr:colOff>271697</xdr:colOff>
      <xdr:row>19</xdr:row>
      <xdr:rowOff>81784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E3192F-2BFB-49A4-E38D-532AEBC62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5295</xdr:colOff>
      <xdr:row>3</xdr:row>
      <xdr:rowOff>180149</xdr:rowOff>
    </xdr:from>
    <xdr:to>
      <xdr:col>13</xdr:col>
      <xdr:colOff>672874</xdr:colOff>
      <xdr:row>19</xdr:row>
      <xdr:rowOff>77463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70E6BC-24C9-FF64-5C19-60C5877EE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373091</xdr:colOff>
      <xdr:row>30</xdr:row>
      <xdr:rowOff>30079</xdr:rowOff>
    </xdr:from>
    <xdr:to>
      <xdr:col>6</xdr:col>
      <xdr:colOff>862264</xdr:colOff>
      <xdr:row>50</xdr:row>
      <xdr:rowOff>70184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6BEC49-B636-C8D1-6180-68C0492D6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5</xdr:col>
      <xdr:colOff>548268</xdr:colOff>
      <xdr:row>76</xdr:row>
      <xdr:rowOff>157975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15B22-EC7B-49BC-A670-952AC6C74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34636</xdr:colOff>
      <xdr:row>82</xdr:row>
      <xdr:rowOff>0</xdr:rowOff>
    </xdr:from>
    <xdr:to>
      <xdr:col>10</xdr:col>
      <xdr:colOff>119792</xdr:colOff>
      <xdr:row>100</xdr:row>
      <xdr:rowOff>91843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B830D-8651-4B60-B62D-3DD7CFDDB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107</xdr:row>
      <xdr:rowOff>17317</xdr:rowOff>
    </xdr:from>
    <xdr:to>
      <xdr:col>9</xdr:col>
      <xdr:colOff>452592</xdr:colOff>
      <xdr:row>126</xdr:row>
      <xdr:rowOff>28308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C1ED4F-ED05-40E0-B334-5536A1C07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37523</xdr:colOff>
      <xdr:row>140</xdr:row>
      <xdr:rowOff>166914</xdr:rowOff>
    </xdr:from>
    <xdr:to>
      <xdr:col>8</xdr:col>
      <xdr:colOff>820058</xdr:colOff>
      <xdr:row>157</xdr:row>
      <xdr:rowOff>116262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EBBCC-CF29-484D-AFE2-85DC65A01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90534</xdr:colOff>
      <xdr:row>158</xdr:row>
      <xdr:rowOff>90534</xdr:rowOff>
    </xdr:from>
    <xdr:to>
      <xdr:col>8</xdr:col>
      <xdr:colOff>807267</xdr:colOff>
      <xdr:row>173</xdr:row>
      <xdr:rowOff>151184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F67297-B510-456D-B51C-681B747B6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105624</xdr:colOff>
      <xdr:row>174</xdr:row>
      <xdr:rowOff>165981</xdr:rowOff>
    </xdr:from>
    <xdr:to>
      <xdr:col>8</xdr:col>
      <xdr:colOff>784634</xdr:colOff>
      <xdr:row>191</xdr:row>
      <xdr:rowOff>165962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61A09D-F9B3-4BB0-AC7C-FF187FE8B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770861</xdr:colOff>
      <xdr:row>147</xdr:row>
      <xdr:rowOff>8861</xdr:rowOff>
    </xdr:from>
    <xdr:to>
      <xdr:col>5</xdr:col>
      <xdr:colOff>770861</xdr:colOff>
      <xdr:row>157</xdr:row>
      <xdr:rowOff>136955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17D7D11-A0F1-EC66-FE27-AF83F04B2DF2}"/>
            </a:ext>
          </a:extLst>
        </xdr:cNvPr>
        <xdr:cNvCxnSpPr/>
      </xdr:nvCxnSpPr>
      <xdr:spPr>
        <a:xfrm>
          <a:off x="5652977" y="27937047"/>
          <a:ext cx="0" cy="1988792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602673</xdr:colOff>
      <xdr:row>199</xdr:row>
      <xdr:rowOff>50801</xdr:rowOff>
    </xdr:from>
    <xdr:to>
      <xdr:col>22</xdr:col>
      <xdr:colOff>373527</xdr:colOff>
      <xdr:row>257</xdr:row>
      <xdr:rowOff>3845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220649-44CB-40C7-9A2A-AB757D408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0.61521</cdr:x>
      <cdr:y>0.31625</cdr:y>
    </cdr:from>
    <cdr:to>
      <cdr:x>0.61521</cdr:x>
      <cdr:y>0.97514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17D7D11-A0F1-EC66-FE27-AF83F04B2DF2}"/>
            </a:ext>
          </a:extLst>
        </cdr:cNvPr>
        <cdr:cNvCxnSpPr/>
      </cdr:nvCxnSpPr>
      <cdr:spPr>
        <a:xfrm xmlns:a="http://schemas.openxmlformats.org/drawingml/2006/main">
          <a:off x="4676396" y="901839"/>
          <a:ext cx="0" cy="187897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2">
          <a:schemeClr val="accent4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0.61745</cdr:x>
      <cdr:y>0.29207</cdr:y>
    </cdr:from>
    <cdr:to>
      <cdr:x>0.61745</cdr:x>
      <cdr:y>0.88678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FF9BC79-87EC-C3C3-0FC5-79D3CBFFF715}"/>
            </a:ext>
          </a:extLst>
        </cdr:cNvPr>
        <cdr:cNvCxnSpPr/>
      </cdr:nvCxnSpPr>
      <cdr:spPr>
        <a:xfrm xmlns:a="http://schemas.openxmlformats.org/drawingml/2006/main">
          <a:off x="4670167" y="923856"/>
          <a:ext cx="0" cy="1881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2">
          <a:schemeClr val="accent4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718129</xdr:colOff>
      <xdr:row>14</xdr:row>
      <xdr:rowOff>72189</xdr:rowOff>
    </xdr:from>
    <xdr:to>
      <xdr:col>14</xdr:col>
      <xdr:colOff>168442</xdr:colOff>
      <xdr:row>31</xdr:row>
      <xdr:rowOff>148850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585FB-EB5F-7199-D6FC-B57116C7D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93132</xdr:colOff>
      <xdr:row>32</xdr:row>
      <xdr:rowOff>118533</xdr:rowOff>
    </xdr:from>
    <xdr:to>
      <xdr:col>10</xdr:col>
      <xdr:colOff>135467</xdr:colOff>
      <xdr:row>50</xdr:row>
      <xdr:rowOff>135467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4FA30-A793-3786-2B79-B3D19841D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418378</xdr:colOff>
      <xdr:row>52</xdr:row>
      <xdr:rowOff>147032</xdr:rowOff>
    </xdr:from>
    <xdr:to>
      <xdr:col>9</xdr:col>
      <xdr:colOff>1891578</xdr:colOff>
      <xdr:row>71</xdr:row>
      <xdr:rowOff>79710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10CCC-715A-2DA3-0A2F-65AF313A3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411480</xdr:colOff>
      <xdr:row>31</xdr:row>
      <xdr:rowOff>106680</xdr:rowOff>
    </xdr:from>
    <xdr:to>
      <xdr:col>21</xdr:col>
      <xdr:colOff>304800</xdr:colOff>
      <xdr:row>48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A5D16C-4E3A-ADC0-3312-85C5078C0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979978</xdr:colOff>
      <xdr:row>50</xdr:row>
      <xdr:rowOff>110951</xdr:rowOff>
    </xdr:from>
    <xdr:to>
      <xdr:col>16</xdr:col>
      <xdr:colOff>417946</xdr:colOff>
      <xdr:row>65</xdr:row>
      <xdr:rowOff>110951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80C642-5CE3-E3C4-F96A-D30A563D5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1159475</xdr:colOff>
      <xdr:row>66</xdr:row>
      <xdr:rowOff>80572</xdr:rowOff>
    </xdr:from>
    <xdr:to>
      <xdr:col>17</xdr:col>
      <xdr:colOff>309708</xdr:colOff>
      <xdr:row>83</xdr:row>
      <xdr:rowOff>123077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9AE4C3-11DD-6109-F12D-FA6BE4612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291392</xdr:colOff>
      <xdr:row>8</xdr:row>
      <xdr:rowOff>72081</xdr:rowOff>
    </xdr:from>
    <xdr:to>
      <xdr:col>36</xdr:col>
      <xdr:colOff>411238</xdr:colOff>
      <xdr:row>65</xdr:row>
      <xdr:rowOff>60477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633840-C29F-0617-AD59-C257AC88C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" refreshedDate="46042.972495601854" createdVersion="8" refreshedVersion="8" minRefreshableVersion="3" recordCount="369" xr:uid="{9F11C270-6865-4009-BBAD-82EB1253F437}">
  <cacheSource type="worksheet">
    <worksheetSource ref="B3:AF372" sheet="Transformed Data"/>
  </cacheSource>
  <cacheFields count="3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 u="1"/>
        <s v="November " u="1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Month Year" numFmtId="0">
      <sharedItems count="123">
        <s v="Jan-13"/>
        <s v="Feb-13"/>
        <s v="Mar-13"/>
        <s v="Apr-13"/>
        <s v="May-13"/>
        <s v="Jun-13"/>
        <s v="Jul-13"/>
        <s v="Aug-13"/>
        <s v="Sep-13"/>
        <s v="Oct-13"/>
        <s v="Nov-13"/>
        <s v="Dec-13"/>
        <s v="Jan-14"/>
        <s v="Feb-14"/>
        <s v="Mar-14"/>
        <s v="Apr-14"/>
        <s v="May-14"/>
        <s v="Jun-14"/>
        <s v="Jul-14"/>
        <s v="Aug-14"/>
        <s v="Sep-14"/>
        <s v="Oct-14"/>
        <s v="Nov-14"/>
        <s v="Dec-14"/>
        <s v="Jan-15"/>
        <s v="Feb-15"/>
        <s v="Mar-15"/>
        <s v="Apr-15"/>
        <s v="May-15"/>
        <s v="Jun-15"/>
        <s v="Jul-15"/>
        <s v="Aug-15"/>
        <s v="Sep-15"/>
        <s v="Oct-15"/>
        <s v="Nov-15"/>
        <s v="Dec-15"/>
        <s v="Jan-16"/>
        <s v="Feb-16"/>
        <s v="Mar-16"/>
        <s v="Apr-16"/>
        <s v="May-16"/>
        <s v="Jun-16"/>
        <s v="Jul-16"/>
        <s v="Aug-16"/>
        <s v="Sep-16"/>
        <s v="Oct-16"/>
        <s v="Nov-16"/>
        <s v="Dec-16"/>
        <s v="Jan-17"/>
        <s v="Feb-17"/>
        <s v="Mar-17"/>
        <s v="Apr-17"/>
        <s v="May-17"/>
        <s v="Jun-17"/>
        <s v="Jul-17"/>
        <s v="Aug-17"/>
        <s v="Sep-17"/>
        <s v="Oct-17"/>
        <s v="Nov-17"/>
        <s v="Dec-17"/>
        <s v="Jan-18"/>
        <s v="Feb-18"/>
        <s v="Mar-18"/>
        <s v="Apr-18"/>
        <s v="May-18"/>
        <s v="Jun-18"/>
        <s v="Jul-18"/>
        <s v="Aug-18"/>
        <s v="Sep-18"/>
        <s v="Oct-18"/>
        <s v="Nov-18"/>
        <s v="Dec-18"/>
        <s v="Jan-19"/>
        <s v="Feb-19"/>
        <s v="Mar-19"/>
        <s v="May-19"/>
        <s v="Jun-19"/>
        <s v="Jul-19"/>
        <s v="Aug-19"/>
        <s v="Sep-19"/>
        <s v="Oct-19"/>
        <s v="Nov-19"/>
        <s v="Dec-19"/>
        <s v="Jan-20"/>
        <s v="Feb-20"/>
        <s v="Mar-20"/>
        <s v="Apr-20"/>
        <s v="Jun-20"/>
        <s v="Jul-20"/>
        <s v="Aug-20"/>
        <s v="Sep-20"/>
        <s v="Oct-20"/>
        <s v="Nov-20"/>
        <s v="Dec-20"/>
        <s v="Jan-21"/>
        <s v="Feb-21"/>
        <s v="Mar-21"/>
        <s v="Apr-21"/>
        <s v="May-21"/>
        <s v="Jun-21"/>
        <s v="Jul-21"/>
        <s v="Aug-21"/>
        <s v="Sep-21"/>
        <s v="Oct-21"/>
        <s v="Nov-21"/>
        <s v="Dec-21"/>
        <s v="Jan-22"/>
        <s v="Feb-22"/>
        <s v="Mar-22"/>
        <s v="Apr-22"/>
        <s v="May-22"/>
        <s v="Jun-22"/>
        <s v="Jul-22"/>
        <s v="Aug-22"/>
        <s v="Sep-22"/>
        <s v="Oct-22"/>
        <s v="Nov-22"/>
        <s v="Dec-22"/>
        <s v="Jan-23"/>
        <s v="Feb-23"/>
        <s v="Mar-23"/>
        <s v="Apr-23"/>
        <s v="May-23"/>
      </sharedItems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x v="0"/>
    <n v="103.4"/>
    <n v="103.8"/>
    <n v="104.7"/>
    <n v="104"/>
    <n v="105.1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x v="0"/>
    <n v="102.9"/>
    <n v="103.5"/>
    <n v="104.3"/>
    <n v="103.7"/>
    <n v="104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x v="0"/>
    <n v="103.1"/>
    <n v="103.6"/>
    <n v="104.5"/>
    <n v="103.9"/>
    <n v="104.6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x v="1"/>
    <n v="104"/>
    <n v="104.1"/>
    <n v="104.6"/>
    <n v="104.4"/>
    <n v="105.8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x v="1"/>
    <n v="103.3"/>
    <n v="103.7"/>
    <n v="104.3"/>
    <n v="104.3"/>
    <n v="104.7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x v="1"/>
    <n v="103.6"/>
    <n v="103.9"/>
    <n v="104.5"/>
    <n v="104.4"/>
    <n v="105.3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x v="2"/>
    <n v="104"/>
    <n v="104.3"/>
    <n v="104.3"/>
    <n v="104.6"/>
    <n v="106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x v="2"/>
    <n v="103.5"/>
    <n v="103.8"/>
    <n v="104.2"/>
    <n v="104.9"/>
    <n v="105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x v="2"/>
    <n v="103.7"/>
    <n v="104"/>
    <n v="104.3"/>
    <n v="104.7"/>
    <n v="105.5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x v="3"/>
    <n v="104.5"/>
    <n v="104.8"/>
    <n v="102.7"/>
    <n v="104.6"/>
    <n v="106.4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x v="3"/>
    <n v="104"/>
    <n v="105.2"/>
    <n v="103.2"/>
    <n v="105.1"/>
    <n v="105.7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x v="3"/>
    <n v="104.2"/>
    <n v="105"/>
    <n v="102.9"/>
    <n v="104.8"/>
    <n v="106.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x v="4"/>
    <n v="105"/>
    <n v="105.5"/>
    <n v="102.1"/>
    <n v="104.8"/>
    <n v="107.2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x v="4"/>
    <n v="104.6"/>
    <n v="105.7"/>
    <n v="102.6"/>
    <n v="104.9"/>
    <n v="106.6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x v="4"/>
    <n v="104.8"/>
    <n v="105.6"/>
    <n v="102.3"/>
    <n v="104.8"/>
    <n v="106.9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x v="5"/>
    <n v="105.6"/>
    <n v="106.5"/>
    <n v="102.5"/>
    <n v="105.5"/>
    <n v="108.9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x v="5"/>
    <n v="105.2"/>
    <n v="108.1"/>
    <n v="103.3"/>
    <n v="106.1"/>
    <n v="109.7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x v="5"/>
    <n v="105.4"/>
    <n v="107.4"/>
    <n v="102.8"/>
    <n v="105.8"/>
    <n v="109.3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x v="6"/>
    <n v="106.4"/>
    <n v="107.8"/>
    <n v="102.5"/>
    <n v="106.5"/>
    <n v="110.7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x v="6"/>
    <n v="105.9"/>
    <n v="110.1"/>
    <n v="103.2"/>
    <n v="107.3"/>
    <n v="111.4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x v="6"/>
    <n v="106.1"/>
    <n v="109.1"/>
    <n v="102.8"/>
    <n v="106.9"/>
    <n v="111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x v="7"/>
    <n v="106.8"/>
    <n v="108.7"/>
    <n v="105"/>
    <n v="107.5"/>
    <n v="112.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x v="7"/>
    <n v="106.5"/>
    <n v="110.8"/>
    <n v="106"/>
    <n v="108.3"/>
    <n v="112.7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x v="7"/>
    <n v="106.6"/>
    <n v="109.9"/>
    <n v="105.4"/>
    <n v="107.9"/>
    <n v="112.4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x v="8"/>
    <n v="107.7"/>
    <n v="109.8"/>
    <n v="106.7"/>
    <n v="108.7"/>
    <n v="114.2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x v="8"/>
    <n v="107.4"/>
    <n v="111.2"/>
    <n v="106.9"/>
    <n v="109.4"/>
    <n v="113.2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x v="8"/>
    <n v="107.5"/>
    <n v="110.6"/>
    <n v="106.8"/>
    <n v="109"/>
    <n v="113.7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x v="9"/>
    <n v="108.3"/>
    <n v="110.2"/>
    <n v="107.5"/>
    <n v="109.1"/>
    <n v="115.5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x v="9"/>
    <n v="108"/>
    <n v="111.3"/>
    <n v="107.3"/>
    <n v="109.4"/>
    <n v="114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x v="9"/>
    <n v="108.1"/>
    <n v="110.8"/>
    <n v="107.4"/>
    <n v="109.2"/>
    <n v="114.8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x v="10"/>
    <n v="108.7"/>
    <n v="111"/>
    <n v="108.2"/>
    <n v="109.8"/>
    <n v="117.4"/>
  </r>
  <r>
    <x v="1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x v="10"/>
    <n v="108.5"/>
    <n v="111.3"/>
    <n v="107.9"/>
    <n v="109.6"/>
    <n v="115"/>
  </r>
  <r>
    <x v="2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x v="10"/>
    <n v="108.6"/>
    <n v="111.2"/>
    <n v="108.1"/>
    <n v="109.7"/>
    <n v="116.3"/>
  </r>
  <r>
    <x v="0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x v="11"/>
    <n v="109.2"/>
    <n v="111.6"/>
    <n v="108.1"/>
    <n v="110.1"/>
    <n v="115.5"/>
  </r>
  <r>
    <x v="1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x v="11"/>
    <n v="108.9"/>
    <n v="111.4"/>
    <n v="107.7"/>
    <n v="109.8"/>
    <n v="113.3"/>
  </r>
  <r>
    <x v="2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x v="11"/>
    <n v="109"/>
    <n v="111.5"/>
    <n v="107.9"/>
    <n v="110"/>
    <n v="114.5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x v="12"/>
    <n v="109.6"/>
    <n v="111.8"/>
    <n v="108.3"/>
    <n v="110.6"/>
    <n v="114.2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x v="12"/>
    <n v="109.8"/>
    <n v="111.5"/>
    <n v="108"/>
    <n v="110.5"/>
    <n v="112.9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x v="12"/>
    <n v="109.7"/>
    <n v="111.6"/>
    <n v="108.2"/>
    <n v="110.6"/>
    <n v="113.6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x v="13"/>
    <n v="109.9"/>
    <n v="112"/>
    <n v="108.7"/>
    <n v="110.9"/>
    <n v="114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x v="13"/>
    <n v="110.3"/>
    <n v="111.6"/>
    <n v="108.7"/>
    <n v="111"/>
    <n v="113.1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x v="13"/>
    <n v="110.1"/>
    <n v="111.8"/>
    <n v="108.7"/>
    <n v="110.9"/>
    <n v="113.6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x v="14"/>
    <n v="110.2"/>
    <n v="112.4"/>
    <n v="108.9"/>
    <n v="111.3"/>
    <n v="114.6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x v="14"/>
    <n v="110.9"/>
    <n v="111.8"/>
    <n v="109.2"/>
    <n v="111.4"/>
    <n v="113.7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x v="14"/>
    <n v="110.6"/>
    <n v="112"/>
    <n v="109"/>
    <n v="111.3"/>
    <n v="114.2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x v="15"/>
    <n v="110.5"/>
    <n v="113"/>
    <n v="108.9"/>
    <n v="111.5"/>
    <n v="115.4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x v="15"/>
    <n v="111.2"/>
    <n v="112.5"/>
    <n v="109.1"/>
    <n v="111.4"/>
    <n v="114.7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x v="15"/>
    <n v="110.9"/>
    <n v="112.7"/>
    <n v="109"/>
    <n v="111.5"/>
    <n v="115.1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x v="16"/>
    <n v="110.9"/>
    <n v="113.1"/>
    <n v="108.9"/>
    <n v="111.8"/>
    <n v="116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x v="16"/>
    <n v="111.5"/>
    <n v="112.9"/>
    <n v="109.3"/>
    <n v="111.7"/>
    <n v="115.6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x v="16"/>
    <n v="111.2"/>
    <n v="113"/>
    <n v="109.1"/>
    <n v="111.8"/>
    <n v="115.8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x v="17"/>
    <n v="111.4"/>
    <n v="114.3"/>
    <n v="108"/>
    <n v="112.3"/>
    <n v="117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x v="17"/>
    <n v="111.8"/>
    <n v="115.1"/>
    <n v="108.7"/>
    <n v="112.2"/>
    <n v="116.4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x v="17"/>
    <n v="111.6"/>
    <n v="114.8"/>
    <n v="108.3"/>
    <n v="112.3"/>
    <n v="116.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x v="18"/>
    <n v="111.8"/>
    <n v="115.5"/>
    <n v="108.8"/>
    <n v="113.1"/>
    <n v="119.5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x v="18"/>
    <n v="112.4"/>
    <n v="117.8"/>
    <n v="109.7"/>
    <n v="113.5"/>
    <n v="118.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x v="18"/>
    <n v="112.1"/>
    <n v="116.8"/>
    <n v="109.2"/>
    <n v="113.3"/>
    <n v="119.2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x v="19"/>
    <n v="112.2"/>
    <n v="116.2"/>
    <n v="109.4"/>
    <n v="113.5"/>
    <n v="120.7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x v="19"/>
    <n v="112.9"/>
    <n v="119.2"/>
    <n v="110.5"/>
    <n v="113.9"/>
    <n v="119.9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x v="19"/>
    <n v="112.6"/>
    <n v="118"/>
    <n v="109.9"/>
    <n v="113.7"/>
    <n v="120.3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x v="20"/>
    <n v="112.6"/>
    <n v="116.6"/>
    <n v="109.1"/>
    <n v="113.7"/>
    <n v="120.9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x v="20"/>
    <n v="113.4"/>
    <n v="120"/>
    <n v="110"/>
    <n v="113.6"/>
    <n v="119.2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x v="20"/>
    <n v="113.1"/>
    <n v="118.6"/>
    <n v="109.5"/>
    <n v="113.7"/>
    <n v="120.1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x v="21"/>
    <n v="113"/>
    <n v="116.9"/>
    <n v="109.3"/>
    <n v="114"/>
    <n v="121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x v="21"/>
    <n v="113.6"/>
    <n v="120.2"/>
    <n v="110.1"/>
    <n v="113.7"/>
    <n v="119.1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x v="21"/>
    <n v="113.3"/>
    <n v="118.8"/>
    <n v="109.6"/>
    <n v="113.9"/>
    <n v="120.1"/>
  </r>
  <r>
    <x v="0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x v="22"/>
    <n v="113.3"/>
    <n v="117.2"/>
    <n v="108.8"/>
    <n v="114.1"/>
    <n v="121.1"/>
  </r>
  <r>
    <x v="1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x v="22"/>
    <n v="114"/>
    <n v="120.3"/>
    <n v="109.6"/>
    <n v="113.4"/>
    <n v="119"/>
  </r>
  <r>
    <x v="2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x v="22"/>
    <n v="113.7"/>
    <n v="119"/>
    <n v="109.1"/>
    <n v="113.8"/>
    <n v="120.1"/>
  </r>
  <r>
    <x v="0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x v="23"/>
    <n v="113.3"/>
    <n v="117.7"/>
    <n v="109.4"/>
    <n v="114.2"/>
    <n v="120.3"/>
  </r>
  <r>
    <x v="1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x v="23"/>
    <n v="114.3"/>
    <n v="120.7"/>
    <n v="110.4"/>
    <n v="113.4"/>
    <n v="118.4"/>
  </r>
  <r>
    <x v="2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x v="23"/>
    <n v="113.9"/>
    <n v="119.5"/>
    <n v="109.8"/>
    <n v="113.8"/>
    <n v="119.4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x v="24"/>
    <n v="114"/>
    <n v="118.2"/>
    <n v="110.2"/>
    <n v="114.5"/>
    <n v="120.3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x v="24"/>
    <n v="114.6"/>
    <n v="120.8"/>
    <n v="111.4"/>
    <n v="113.4"/>
    <n v="118.5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x v="24"/>
    <n v="114.3"/>
    <n v="119.7"/>
    <n v="110.7"/>
    <n v="114"/>
    <n v="119.5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x v="25"/>
    <n v="114.8"/>
    <n v="118.7"/>
    <n v="110.8"/>
    <n v="115"/>
    <n v="120.6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x v="25"/>
    <n v="114.9"/>
    <n v="120.4"/>
    <n v="111.7"/>
    <n v="113.2"/>
    <n v="118.7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x v="25"/>
    <n v="114.9"/>
    <n v="119.7"/>
    <n v="111.2"/>
    <n v="114.1"/>
    <n v="119.7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x v="26"/>
    <n v="115.5"/>
    <n v="119.4"/>
    <n v="110.8"/>
    <n v="115.5"/>
    <n v="121.1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x v="26"/>
    <n v="115.4"/>
    <n v="120.6"/>
    <n v="111.3"/>
    <n v="113.8"/>
    <n v="119.1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x v="26"/>
    <n v="115.4"/>
    <n v="120.1"/>
    <n v="111"/>
    <n v="114.7"/>
    <n v="120.2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x v="27"/>
    <n v="116.2"/>
    <n v="119.9"/>
    <n v="111.6"/>
    <n v="116"/>
    <n v="121.5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x v="27"/>
    <n v="115.6"/>
    <n v="121.7"/>
    <n v="111.8"/>
    <n v="114.2"/>
    <n v="119.7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x v="27"/>
    <n v="115.9"/>
    <n v="121"/>
    <n v="111.7"/>
    <n v="115.1"/>
    <n v="120.7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x v="28"/>
    <n v="116.7"/>
    <n v="120.5"/>
    <n v="112.3"/>
    <n v="116.9"/>
    <n v="122.4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x v="28"/>
    <n v="116"/>
    <n v="122"/>
    <n v="112.4"/>
    <n v="115.2"/>
    <n v="120.7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x v="28"/>
    <n v="116.3"/>
    <n v="121.4"/>
    <n v="112.3"/>
    <n v="116.1"/>
    <n v="121.6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x v="29"/>
    <n v="117.9"/>
    <n v="122"/>
    <n v="113"/>
    <n v="117.9"/>
    <n v="124.1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x v="29"/>
    <n v="116.2"/>
    <n v="123.8"/>
    <n v="112.5"/>
    <n v="116"/>
    <n v="121.7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x v="29"/>
    <n v="116.9"/>
    <n v="123.1"/>
    <n v="112.8"/>
    <n v="117"/>
    <n v="123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x v="30"/>
    <n v="118"/>
    <n v="122.9"/>
    <n v="112.7"/>
    <n v="118.1"/>
    <n v="124.7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x v="30"/>
    <n v="116.6"/>
    <n v="125.4"/>
    <n v="111.7"/>
    <n v="116.3"/>
    <n v="122.4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x v="30"/>
    <n v="117.2"/>
    <n v="124.4"/>
    <n v="112.3"/>
    <n v="117.2"/>
    <n v="123.6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x v="31"/>
    <n v="118.5"/>
    <n v="123.6"/>
    <n v="112.5"/>
    <n v="118.2"/>
    <n v="126.1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x v="31"/>
    <n v="117.2"/>
    <n v="126.2"/>
    <n v="112"/>
    <n v="116.2"/>
    <n v="123.2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x v="31"/>
    <n v="117.8"/>
    <n v="125.1"/>
    <n v="112.3"/>
    <n v="117.2"/>
    <n v="124.8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x v="32"/>
    <n v="119.6"/>
    <n v="124.5"/>
    <n v="113.7"/>
    <n v="118.8"/>
    <n v="127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x v="32"/>
    <n v="117.3"/>
    <n v="126.5"/>
    <n v="112.9"/>
    <n v="116.2"/>
    <n v="123.5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x v="32"/>
    <n v="118.3"/>
    <n v="125.7"/>
    <n v="113.4"/>
    <n v="117.5"/>
    <n v="125.4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x v="33"/>
    <n v="120.1"/>
    <n v="125.1"/>
    <n v="114.2"/>
    <n v="119.2"/>
    <n v="127.7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x v="33"/>
    <n v="117.7"/>
    <n v="126.5"/>
    <n v="113.5"/>
    <n v="116.5"/>
    <n v="124.2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x v="33"/>
    <n v="118.7"/>
    <n v="125.9"/>
    <n v="113.9"/>
    <n v="117.9"/>
    <n v="126.1"/>
  </r>
  <r>
    <x v="0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x v="34"/>
    <n v="120.9"/>
    <n v="125.8"/>
    <n v="114.2"/>
    <n v="119.6"/>
    <n v="128.30000000000001"/>
  </r>
  <r>
    <x v="1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x v="34"/>
    <n v="117.9"/>
    <n v="126.6"/>
    <n v="113.3"/>
    <n v="116.6"/>
    <n v="124.6"/>
  </r>
  <r>
    <x v="2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x v="34"/>
    <n v="119.2"/>
    <n v="126.3"/>
    <n v="113.8"/>
    <n v="118.1"/>
    <n v="126.6"/>
  </r>
  <r>
    <x v="0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x v="35"/>
    <n v="121.6"/>
    <n v="125.6"/>
    <n v="114.1"/>
    <n v="119.8"/>
    <n v="127.9"/>
  </r>
  <r>
    <x v="1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x v="35"/>
    <n v="118.1"/>
    <n v="126.6"/>
    <n v="113.2"/>
    <n v="116.7"/>
    <n v="124"/>
  </r>
  <r>
    <x v="2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x v="35"/>
    <n v="119.6"/>
    <n v="126.2"/>
    <n v="113.7"/>
    <n v="118.3"/>
    <n v="126.1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x v="36"/>
    <n v="121.4"/>
    <n v="126.2"/>
    <n v="114.9"/>
    <n v="120.1"/>
    <n v="128.1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x v="36"/>
    <n v="118.5"/>
    <n v="126.4"/>
    <n v="114"/>
    <n v="116.8"/>
    <n v="124.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x v="36"/>
    <n v="119.8"/>
    <n v="126.3"/>
    <n v="114.5"/>
    <n v="118.5"/>
    <n v="126.3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x v="37"/>
    <n v="122.3"/>
    <n v="127.1"/>
    <n v="116.8"/>
    <n v="120.9"/>
    <n v="127.9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x v="37"/>
    <n v="118.8"/>
    <n v="126.3"/>
    <n v="116.2"/>
    <n v="117.2"/>
    <n v="123.8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x v="37"/>
    <n v="120.3"/>
    <n v="126.6"/>
    <n v="116.6"/>
    <n v="119.1"/>
    <n v="126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x v="38"/>
    <n v="122.5"/>
    <n v="127.5"/>
    <n v="117.4"/>
    <n v="121.1"/>
    <n v="128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x v="38"/>
    <n v="119.1"/>
    <n v="126.4"/>
    <n v="117.1"/>
    <n v="117.3"/>
    <n v="123.8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x v="38"/>
    <n v="120.6"/>
    <n v="126.9"/>
    <n v="117.3"/>
    <n v="119.3"/>
    <n v="126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x v="39"/>
    <n v="123.2"/>
    <n v="127.9"/>
    <n v="118.4"/>
    <n v="121.7"/>
    <n v="129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x v="39"/>
    <n v="119.5"/>
    <n v="127.6"/>
    <n v="117.6"/>
    <n v="118.2"/>
    <n v="125.3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x v="39"/>
    <n v="121.1"/>
    <n v="127.7"/>
    <n v="118.1"/>
    <n v="120"/>
    <n v="127.3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x v="40"/>
    <n v="123.6"/>
    <n v="129.1"/>
    <n v="119.7"/>
    <n v="122.5"/>
    <n v="130.30000000000001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x v="40"/>
    <n v="119.8"/>
    <n v="128"/>
    <n v="118.5"/>
    <n v="118.7"/>
    <n v="126.6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x v="40"/>
    <n v="121.5"/>
    <n v="128.5"/>
    <n v="119.2"/>
    <n v="120.7"/>
    <n v="128.6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x v="41"/>
    <n v="124.1"/>
    <n v="130.19999999999999"/>
    <n v="119.9"/>
    <n v="123.3"/>
    <n v="131.9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x v="41"/>
    <n v="119.9"/>
    <n v="129.30000000000001"/>
    <n v="118.8"/>
    <n v="119.6"/>
    <n v="128.1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x v="41"/>
    <n v="121.7"/>
    <n v="129.69999999999999"/>
    <n v="119.4"/>
    <n v="121.5"/>
    <n v="130.1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x v="42"/>
    <n v="125.2"/>
    <n v="130.80000000000001"/>
    <n v="120.9"/>
    <n v="123.8"/>
    <n v="133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x v="42"/>
    <n v="120.3"/>
    <n v="130.80000000000001"/>
    <n v="120"/>
    <n v="119.9"/>
    <n v="129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x v="42"/>
    <n v="122.4"/>
    <n v="130.80000000000001"/>
    <n v="120.5"/>
    <n v="121.9"/>
    <n v="131.1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x v="43"/>
    <n v="125.5"/>
    <n v="131.9"/>
    <n v="122"/>
    <n v="124.2"/>
    <n v="133.5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x v="43"/>
    <n v="120.6"/>
    <n v="131.5"/>
    <n v="120.9"/>
    <n v="119.9"/>
    <n v="128.4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x v="43"/>
    <n v="122.7"/>
    <n v="131.69999999999999"/>
    <n v="121.5"/>
    <n v="122.1"/>
    <n v="131.1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x v="44"/>
    <n v="125.7"/>
    <n v="132.19999999999999"/>
    <n v="122.8"/>
    <n v="124.9"/>
    <n v="133.4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x v="44"/>
    <n v="120.8"/>
    <n v="131.6"/>
    <n v="121.2"/>
    <n v="120.5"/>
    <n v="128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x v="44"/>
    <n v="122.9"/>
    <n v="131.80000000000001"/>
    <n v="122.1"/>
    <n v="122.8"/>
    <n v="130.9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x v="45"/>
    <n v="126.5"/>
    <n v="133"/>
    <n v="123"/>
    <n v="125.7"/>
    <n v="133.80000000000001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x v="45"/>
    <n v="121.2"/>
    <n v="131.9"/>
    <n v="120.8"/>
    <n v="120.9"/>
    <n v="128.6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x v="45"/>
    <n v="123.5"/>
    <n v="132.4"/>
    <n v="122.1"/>
    <n v="123.4"/>
    <n v="131.4"/>
  </r>
  <r>
    <x v="0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x v="46"/>
    <n v="126.9"/>
    <n v="133.69999999999999"/>
    <n v="123.5"/>
    <n v="126.1"/>
    <n v="133.6"/>
  </r>
  <r>
    <x v="1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x v="46"/>
    <n v="121.7"/>
    <n v="132.1"/>
    <n v="121.3"/>
    <n v="121.3"/>
    <n v="128.5"/>
  </r>
  <r>
    <x v="2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x v="46"/>
    <n v="124"/>
    <n v="132.80000000000001"/>
    <n v="122.6"/>
    <n v="123.8"/>
    <n v="131.19999999999999"/>
  </r>
  <r>
    <x v="0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x v="47"/>
    <n v="127.3"/>
    <n v="134.19999999999999"/>
    <n v="121.9"/>
    <n v="126.3"/>
    <n v="132.80000000000001"/>
  </r>
  <r>
    <x v="1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x v="47"/>
    <n v="121.8"/>
    <n v="132.30000000000001"/>
    <n v="119.9"/>
    <n v="121.4"/>
    <n v="127.6"/>
  </r>
  <r>
    <x v="2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x v="47"/>
    <n v="124.2"/>
    <n v="133.1"/>
    <n v="121.1"/>
    <n v="123.9"/>
    <n v="130.4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x v="48"/>
    <n v="127"/>
    <n v="134.6"/>
    <n v="122.3"/>
    <n v="126.6"/>
    <n v="132.4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x v="48"/>
    <n v="122"/>
    <n v="132.4"/>
    <n v="120.9"/>
    <n v="122.1"/>
    <n v="127.8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x v="48"/>
    <n v="124.2"/>
    <n v="133.30000000000001"/>
    <n v="121.7"/>
    <n v="124.4"/>
    <n v="130.30000000000001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x v="49"/>
    <n v="127.7"/>
    <n v="134.9"/>
    <n v="123.2"/>
    <n v="127"/>
    <n v="132.6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x v="49"/>
    <n v="122.2"/>
    <n v="132.4"/>
    <n v="121.7"/>
    <n v="122.4"/>
    <n v="128.19999999999999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x v="49"/>
    <n v="124.6"/>
    <n v="133.4"/>
    <n v="122.6"/>
    <n v="124.8"/>
    <n v="130.6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x v="50"/>
    <n v="128.30000000000001"/>
    <n v="135.19999999999999"/>
    <n v="123.3"/>
    <n v="127.4"/>
    <n v="132.8000000000000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x v="50"/>
    <n v="122.4"/>
    <n v="132.80000000000001"/>
    <n v="121.7"/>
    <n v="122.6"/>
    <n v="128.6999999999999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x v="50"/>
    <n v="125"/>
    <n v="133.80000000000001"/>
    <n v="122.6"/>
    <n v="125.1"/>
    <n v="130.9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x v="51"/>
    <n v="128.30000000000001"/>
    <n v="135.69999999999999"/>
    <n v="123.7"/>
    <n v="127.5"/>
    <n v="132.9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x v="51"/>
    <n v="122.6"/>
    <n v="133.6"/>
    <n v="122.2"/>
    <n v="122.5"/>
    <n v="129.1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x v="51"/>
    <n v="125.1"/>
    <n v="134.5"/>
    <n v="123.1"/>
    <n v="125.1"/>
    <n v="131.1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x v="52"/>
    <n v="129.4"/>
    <n v="136.30000000000001"/>
    <n v="123.7"/>
    <n v="127.9"/>
    <n v="133.30000000000001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x v="52"/>
    <n v="122.8"/>
    <n v="133.80000000000001"/>
    <n v="122"/>
    <n v="122.6"/>
    <n v="129.30000000000001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x v="52"/>
    <n v="125.7"/>
    <n v="134.80000000000001"/>
    <n v="123"/>
    <n v="125.3"/>
    <n v="131.4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x v="53"/>
    <n v="129.80000000000001"/>
    <n v="136.9"/>
    <n v="124.1"/>
    <n v="128.1"/>
    <n v="133.9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x v="53"/>
    <n v="122.9"/>
    <n v="134.30000000000001"/>
    <n v="122.5"/>
    <n v="122.7"/>
    <n v="129.9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x v="53"/>
    <n v="125.9"/>
    <n v="135.4"/>
    <n v="123.4"/>
    <n v="125.5"/>
    <n v="132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x v="54"/>
    <n v="130.6"/>
    <n v="138.6"/>
    <n v="124.4"/>
    <n v="128.6"/>
    <n v="136.19999999999999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x v="54"/>
    <n v="123.5"/>
    <n v="135.5"/>
    <n v="122.4"/>
    <n v="123"/>
    <n v="131.80000000000001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x v="54"/>
    <n v="126.6"/>
    <n v="136.80000000000001"/>
    <n v="123.6"/>
    <n v="125.9"/>
    <n v="134.19999999999999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x v="55"/>
    <n v="131.5"/>
    <n v="140.19999999999999"/>
    <n v="125.4"/>
    <n v="129.69999999999999"/>
    <n v="137.80000000000001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x v="55"/>
    <n v="124.1"/>
    <n v="135.69999999999999"/>
    <n v="123.3"/>
    <n v="123.8"/>
    <n v="132.69999999999999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x v="55"/>
    <n v="127.3"/>
    <n v="137.6"/>
    <n v="124.5"/>
    <n v="126.8"/>
    <n v="135.4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x v="56"/>
    <n v="132.30000000000001"/>
    <n v="139.6"/>
    <n v="126.7"/>
    <n v="130.30000000000001"/>
    <n v="137.6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x v="56"/>
    <n v="124.5"/>
    <n v="135.9"/>
    <n v="124.4"/>
    <n v="124.5"/>
    <n v="132.4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x v="56"/>
    <n v="127.9"/>
    <n v="137.4"/>
    <n v="125.7"/>
    <n v="127.5"/>
    <n v="135.19999999999999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x v="57"/>
    <n v="133"/>
    <n v="140.1"/>
    <n v="127.4"/>
    <n v="130.69999999999999"/>
    <n v="138.30000000000001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x v="57"/>
    <n v="124.8"/>
    <n v="136.30000000000001"/>
    <n v="124.6"/>
    <n v="124.5"/>
    <n v="133.5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x v="57"/>
    <n v="128.4"/>
    <n v="137.9"/>
    <n v="126.2"/>
    <n v="127.7"/>
    <n v="136.1"/>
  </r>
  <r>
    <x v="0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x v="58"/>
    <n v="133.69999999999999"/>
    <n v="141.5"/>
    <n v="128.1"/>
    <n v="131.69999999999999"/>
    <n v="140"/>
  </r>
  <r>
    <x v="1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x v="58"/>
    <n v="125.1"/>
    <n v="136.6"/>
    <n v="124.9"/>
    <n v="124.9"/>
    <n v="134.80000000000001"/>
  </r>
  <r>
    <x v="2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x v="58"/>
    <n v="128.9"/>
    <n v="138.6"/>
    <n v="126.8"/>
    <n v="128.4"/>
    <n v="137.6"/>
  </r>
  <r>
    <x v="0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x v="59"/>
    <n v="133.4"/>
    <n v="141.1"/>
    <n v="127.8"/>
    <n v="131.9"/>
    <n v="139.80000000000001"/>
  </r>
  <r>
    <x v="1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x v="59"/>
    <n v="125.6"/>
    <n v="136.69999999999999"/>
    <n v="124.6"/>
    <n v="125.1"/>
    <n v="134.1"/>
  </r>
  <r>
    <x v="2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x v="59"/>
    <n v="129"/>
    <n v="138.5"/>
    <n v="126.5"/>
    <n v="128.6"/>
    <n v="137.19999999999999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x v="60"/>
    <n v="134.30000000000001"/>
    <n v="141.6"/>
    <n v="128.6"/>
    <n v="132.30000000000001"/>
    <n v="139.30000000000001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x v="60"/>
    <n v="126.2"/>
    <n v="137.1"/>
    <n v="125.5"/>
    <n v="125.8"/>
    <n v="134.1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x v="60"/>
    <n v="129.69999999999999"/>
    <n v="139"/>
    <n v="127.3"/>
    <n v="129.1"/>
    <n v="136.9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x v="61"/>
    <n v="134.30000000000001"/>
    <n v="141.5"/>
    <n v="128.80000000000001"/>
    <n v="132.5"/>
    <n v="138.5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x v="61"/>
    <n v="126.5"/>
    <n v="137.19999999999999"/>
    <n v="126.2"/>
    <n v="126.5"/>
    <n v="134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x v="61"/>
    <n v="129.9"/>
    <n v="139"/>
    <n v="127.7"/>
    <n v="129.6"/>
    <n v="136.4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x v="62"/>
    <n v="135.1"/>
    <n v="142.69999999999999"/>
    <n v="129.30000000000001"/>
    <n v="133.30000000000001"/>
    <n v="138.69999999999999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x v="62"/>
    <n v="126.8"/>
    <n v="137.80000000000001"/>
    <n v="126.7"/>
    <n v="127.1"/>
    <n v="134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x v="62"/>
    <n v="130.4"/>
    <n v="139.80000000000001"/>
    <n v="128.19999999999999"/>
    <n v="130.30000000000001"/>
    <n v="136.5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x v="63"/>
    <n v="136"/>
    <n v="143.69999999999999"/>
    <n v="130.4"/>
    <n v="134.19999999999999"/>
    <n v="139.1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x v="63"/>
    <n v="127.6"/>
    <n v="139.69999999999999"/>
    <n v="127.6"/>
    <n v="128.19999999999999"/>
    <n v="134.80000000000001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x v="63"/>
    <n v="131.30000000000001"/>
    <n v="141.4"/>
    <n v="129.19999999999999"/>
    <n v="131.30000000000001"/>
    <n v="137.1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x v="64"/>
    <n v="136.80000000000001"/>
    <n v="144.4"/>
    <n v="131.19999999999999"/>
    <n v="135.1"/>
    <n v="139.80000000000001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x v="64"/>
    <n v="128"/>
    <n v="140.4"/>
    <n v="128.1"/>
    <n v="128.9"/>
    <n v="135.4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x v="64"/>
    <n v="131.80000000000001"/>
    <n v="142.1"/>
    <n v="129.9"/>
    <n v="132.1"/>
    <n v="137.80000000000001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x v="65"/>
    <n v="137.80000000000001"/>
    <n v="145.1"/>
    <n v="131.4"/>
    <n v="135.6"/>
    <n v="140.5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x v="65"/>
    <n v="128.5"/>
    <n v="141.19999999999999"/>
    <n v="128.19999999999999"/>
    <n v="129.5"/>
    <n v="136.19999999999999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x v="65"/>
    <n v="132.6"/>
    <n v="142.80000000000001"/>
    <n v="130.1"/>
    <n v="132.6"/>
    <n v="138.5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x v="66"/>
    <n v="138.4"/>
    <n v="145.80000000000001"/>
    <n v="131.4"/>
    <n v="136"/>
    <n v="141.80000000000001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x v="66"/>
    <n v="129"/>
    <n v="144"/>
    <n v="128.19999999999999"/>
    <n v="130.19999999999999"/>
    <n v="137.5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x v="66"/>
    <n v="133.1"/>
    <n v="144.69999999999999"/>
    <n v="130.1"/>
    <n v="133.19999999999999"/>
    <n v="139.80000000000001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x v="67"/>
    <n v="138.6"/>
    <n v="146.9"/>
    <n v="131.30000000000001"/>
    <n v="136.6"/>
    <n v="142.5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x v="67"/>
    <n v="129.80000000000001"/>
    <n v="145.30000000000001"/>
    <n v="128.30000000000001"/>
    <n v="131"/>
    <n v="138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x v="67"/>
    <n v="133.6"/>
    <n v="146"/>
    <n v="130.1"/>
    <n v="133.9"/>
    <n v="140.4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x v="68"/>
    <n v="140"/>
    <n v="147.6"/>
    <n v="132"/>
    <n v="137.4"/>
    <n v="142.1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x v="68"/>
    <n v="130.19999999999999"/>
    <n v="145.19999999999999"/>
    <n v="129.30000000000001"/>
    <n v="131.9"/>
    <n v="138.1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x v="68"/>
    <n v="134.5"/>
    <n v="146.19999999999999"/>
    <n v="130.9"/>
    <n v="134.69999999999999"/>
    <n v="140.1999999999999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7.5"/>
    <n v="149.69999999999999"/>
    <n v="147.5"/>
    <n v="144.80000000000001"/>
    <n v="130.80000000000001"/>
    <x v="69"/>
    <n v="140.1"/>
    <n v="148"/>
    <n v="134.4"/>
    <n v="139.80000000000001"/>
    <n v="142.19999999999999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x v="69"/>
    <n v="130.69999999999999"/>
    <n v="145.5"/>
    <n v="130.4"/>
    <n v="132.5"/>
    <n v="138.9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x v="69"/>
    <n v="136.5"/>
    <n v="147.80000000000001"/>
    <n v="132"/>
    <n v="136.30000000000001"/>
    <n v="140.80000000000001"/>
  </r>
  <r>
    <x v="0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x v="70"/>
    <n v="143.1"/>
    <n v="150.19999999999999"/>
    <n v="133.1"/>
    <n v="140.1"/>
    <n v="142.4"/>
  </r>
  <r>
    <x v="1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x v="70"/>
    <n v="131.30000000000001"/>
    <n v="146.1"/>
    <n v="130.5"/>
    <n v="132.19999999999999"/>
    <n v="139"/>
  </r>
  <r>
    <x v="2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x v="70"/>
    <n v="136.5"/>
    <n v="147.80000000000001"/>
    <n v="132"/>
    <n v="136.30000000000001"/>
    <n v="140.80000000000001"/>
  </r>
  <r>
    <x v="0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x v="71"/>
    <n v="143.30000000000001"/>
    <n v="155.1"/>
    <n v="133.19999999999999"/>
    <n v="141.6"/>
    <n v="141.9"/>
  </r>
  <r>
    <x v="1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x v="71"/>
    <n v="131.69999999999999"/>
    <n v="146.5"/>
    <n v="130.80000000000001"/>
    <n v="131.69999999999999"/>
    <n v="138"/>
  </r>
  <r>
    <x v="2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x v="71"/>
    <n v="136.80000000000001"/>
    <n v="150.1"/>
    <n v="132.19999999999999"/>
    <n v="136.80000000000001"/>
    <n v="140.1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x v="72"/>
    <n v="142.9"/>
    <n v="155.19999999999999"/>
    <n v="133.5"/>
    <n v="141.69999999999999"/>
    <n v="141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x v="72"/>
    <n v="131.9"/>
    <n v="146.6"/>
    <n v="131.69999999999999"/>
    <n v="131.80000000000001"/>
    <n v="138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x v="72"/>
    <n v="136.69999999999999"/>
    <n v="150.19999999999999"/>
    <n v="132.80000000000001"/>
    <n v="136.9"/>
    <n v="139.6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x v="73"/>
    <n v="143.4"/>
    <n v="155.5"/>
    <n v="134.9"/>
    <n v="142.19999999999999"/>
    <n v="141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x v="73"/>
    <n v="132.19999999999999"/>
    <n v="146.6"/>
    <n v="133"/>
    <n v="132.4"/>
    <n v="138.6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x v="73"/>
    <n v="137.1"/>
    <n v="150.30000000000001"/>
    <n v="134.1"/>
    <n v="137.4"/>
    <n v="139.9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x v="74"/>
    <n v="143.80000000000001"/>
    <n v="155.5"/>
    <n v="134"/>
    <n v="142.4"/>
    <n v="141.19999999999999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x v="74"/>
    <n v="133"/>
    <n v="146.69999999999999"/>
    <n v="132.5"/>
    <n v="132.80000000000001"/>
    <n v="139.5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x v="74"/>
    <n v="137.69999999999999"/>
    <n v="150.30000000000001"/>
    <n v="133.4"/>
    <n v="137.69999999999999"/>
    <n v="140.4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x v="75"/>
    <n v="145.9"/>
    <n v="156.69999999999999"/>
    <n v="133.9"/>
    <n v="142.9"/>
    <n v="142.4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x v="75"/>
    <n v="134"/>
    <n v="148"/>
    <n v="132.6"/>
    <n v="133.30000000000001"/>
    <n v="141.5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x v="75"/>
    <n v="139.19999999999999"/>
    <n v="151.6"/>
    <n v="133.4"/>
    <n v="138.19999999999999"/>
    <n v="142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x v="76"/>
    <n v="146.4"/>
    <n v="157.69999999999999"/>
    <n v="134.80000000000001"/>
    <n v="143.30000000000001"/>
    <n v="143.6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x v="76"/>
    <n v="134.30000000000001"/>
    <n v="148.9"/>
    <n v="133.69999999999999"/>
    <n v="133.6"/>
    <n v="142.1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x v="76"/>
    <n v="139.6"/>
    <n v="152.5"/>
    <n v="134.30000000000001"/>
    <n v="138.6"/>
    <n v="142.9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x v="77"/>
    <n v="147.5"/>
    <n v="159.1"/>
    <n v="136.1"/>
    <n v="144.19999999999999"/>
    <n v="144.9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x v="77"/>
    <n v="135"/>
    <n v="150.4"/>
    <n v="135.1"/>
    <n v="134.5"/>
    <n v="143.30000000000001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x v="77"/>
    <n v="140.5"/>
    <n v="154"/>
    <n v="135.69999999999999"/>
    <n v="139.5"/>
    <n v="144.19999999999999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x v="78"/>
    <n v="148"/>
    <n v="159.69999999999999"/>
    <n v="138.80000000000001"/>
    <n v="144.9"/>
    <n v="145.69999999999999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x v="78"/>
    <n v="135.4"/>
    <n v="151.5"/>
    <n v="137.80000000000001"/>
    <n v="135.30000000000001"/>
    <n v="144.1999999999999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x v="78"/>
    <n v="140.9"/>
    <n v="154.9"/>
    <n v="138.4"/>
    <n v="140.19999999999999"/>
    <n v="145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x v="79"/>
    <n v="148.30000000000001"/>
    <n v="160.19999999999999"/>
    <n v="140.19999999999999"/>
    <n v="145.4"/>
    <n v="146.69999999999999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x v="79"/>
    <n v="135.9"/>
    <n v="151.6"/>
    <n v="139"/>
    <n v="135.69999999999999"/>
    <n v="144.69999999999999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x v="79"/>
    <n v="141.30000000000001"/>
    <n v="155.19999999999999"/>
    <n v="139.69999999999999"/>
    <n v="140.69999999999999"/>
    <n v="145.80000000000001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x v="80"/>
    <n v="148.69999999999999"/>
    <n v="160.69999999999999"/>
    <n v="140.30000000000001"/>
    <n v="145.69999999999999"/>
    <n v="148.30000000000001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x v="80"/>
    <n v="136.19999999999999"/>
    <n v="151.69999999999999"/>
    <n v="139.5"/>
    <n v="136"/>
    <n v="146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x v="80"/>
    <n v="141.69999999999999"/>
    <n v="155.4"/>
    <n v="140"/>
    <n v="141"/>
    <n v="147.19999999999999"/>
  </r>
  <r>
    <x v="0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x v="81"/>
    <n v="149.1"/>
    <n v="160.80000000000001"/>
    <n v="140.6"/>
    <n v="146.1"/>
    <n v="149.9"/>
  </r>
  <r>
    <x v="1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x v="81"/>
    <n v="136.69999999999999"/>
    <n v="151.80000000000001"/>
    <n v="139.80000000000001"/>
    <n v="136.30000000000001"/>
    <n v="147"/>
  </r>
  <r>
    <x v="2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x v="81"/>
    <n v="142.1"/>
    <n v="155.5"/>
    <n v="140.30000000000001"/>
    <n v="141.30000000000001"/>
    <n v="148.6"/>
  </r>
  <r>
    <x v="0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x v="82"/>
    <n v="149.5"/>
    <n v="161.1"/>
    <n v="140.6"/>
    <n v="147.1"/>
    <n v="152.30000000000001"/>
  </r>
  <r>
    <x v="1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x v="82"/>
    <n v="136.80000000000001"/>
    <n v="151.9"/>
    <n v="140.19999999999999"/>
    <n v="137.69999999999999"/>
    <n v="148.30000000000001"/>
  </r>
  <r>
    <x v="2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x v="82"/>
    <n v="142.30000000000001"/>
    <n v="155.69999999999999"/>
    <n v="140.4"/>
    <n v="142.5"/>
    <n v="150.4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x v="83"/>
    <n v="150.1"/>
    <n v="161.69999999999999"/>
    <n v="142.5"/>
    <n v="148.1"/>
    <n v="151.9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x v="83"/>
    <n v="137.19999999999999"/>
    <n v="152.1"/>
    <n v="142.1"/>
    <n v="138.4"/>
    <n v="148.19999999999999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x v="83"/>
    <n v="142.80000000000001"/>
    <n v="156.1"/>
    <n v="142.30000000000001"/>
    <n v="143.4"/>
    <n v="150.19999999999999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x v="84"/>
    <n v="150.4"/>
    <n v="161.9"/>
    <n v="143.4"/>
    <n v="148.4"/>
    <n v="150.4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x v="84"/>
    <n v="137.69999999999999"/>
    <n v="152.19999999999999"/>
    <n v="143.5"/>
    <n v="138.4"/>
    <n v="147.69999999999999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x v="84"/>
    <n v="143.19999999999999"/>
    <n v="156.19999999999999"/>
    <n v="143.4"/>
    <n v="143.6"/>
    <n v="149.1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x v="85"/>
    <n v="151.19999999999999"/>
    <n v="161.19999999999999"/>
    <n v="145.1"/>
    <n v="148.6"/>
    <n v="149.80000000000001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x v="85"/>
    <n v="137.9"/>
    <n v="152.5"/>
    <n v="145.30000000000001"/>
    <n v="138.69999999999999"/>
    <n v="147.30000000000001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x v="85"/>
    <n v="143.69999999999999"/>
    <n v="156.1"/>
    <n v="145.19999999999999"/>
    <n v="143.80000000000001"/>
    <n v="148.6"/>
  </r>
  <r>
    <x v="0"/>
    <x v="7"/>
    <x v="3"/>
    <n v="147.19999999999999"/>
    <n v="178.55"/>
    <n v="146.9"/>
    <n v="155.6"/>
    <n v="137.1"/>
    <n v="147.30000000000001"/>
    <n v="162.69999999999999"/>
    <n v="150.19999999999999"/>
    <n v="119.8"/>
    <n v="158.69999999999999"/>
    <n v="139.19999999999999"/>
    <n v="160.9"/>
    <n v="150.1"/>
    <n v="176.45"/>
    <n v="154.05000000000001"/>
    <n v="148.80000000000001"/>
    <n v="153.30000000000001"/>
    <n v="155.6"/>
    <n v="148.4"/>
    <n v="151.6"/>
    <n v="154.30000000000001"/>
    <n v="138.60000000000002"/>
    <x v="86"/>
    <n v="152.19999999999999"/>
    <n v="161.5"/>
    <n v="148.14999999999998"/>
    <n v="150.14999999999998"/>
    <n v="151.25"/>
  </r>
  <r>
    <x v="1"/>
    <x v="7"/>
    <x v="3"/>
    <n v="151.80000000000001"/>
    <n v="182.25"/>
    <n v="151.9"/>
    <n v="155.5"/>
    <n v="131.6"/>
    <n v="152.9"/>
    <n v="180"/>
    <n v="150.80000000000001"/>
    <n v="121.2"/>
    <n v="154"/>
    <n v="133.5"/>
    <n v="160.39999999999998"/>
    <n v="153.5"/>
    <n v="180"/>
    <n v="148.39999999999998"/>
    <n v="135.19999999999999"/>
    <n v="146.39999999999998"/>
    <n v="155.6"/>
    <n v="137.1"/>
    <n v="140.60000000000002"/>
    <n v="144.80000000000001"/>
    <n v="126.95"/>
    <x v="86"/>
    <n v="141.19999999999999"/>
    <n v="152.5"/>
    <n v="148.75"/>
    <n v="140.35"/>
    <n v="149.05000000000001"/>
  </r>
  <r>
    <x v="2"/>
    <x v="7"/>
    <x v="3"/>
    <n v="148.69999999999999"/>
    <n v="179.85"/>
    <n v="148.80000000000001"/>
    <n v="155.6"/>
    <n v="135.1"/>
    <n v="149.9"/>
    <n v="168.6"/>
    <n v="150.4"/>
    <n v="120.3"/>
    <n v="157.1"/>
    <n v="136.80000000000001"/>
    <n v="160.69999999999999"/>
    <n v="151.4"/>
    <n v="177.35"/>
    <n v="151.85"/>
    <n v="143.15"/>
    <n v="150.60000000000002"/>
    <n v="155.6"/>
    <n v="144.1"/>
    <n v="146.4"/>
    <n v="150.69999999999999"/>
    <n v="132.44999999999999"/>
    <x v="86"/>
    <n v="146"/>
    <n v="156.25"/>
    <n v="148.39999999999998"/>
    <n v="145.4"/>
    <n v="150.19999999999999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x v="87"/>
    <n v="153.19999999999999"/>
    <n v="161.80000000000001"/>
    <n v="151.19999999999999"/>
    <n v="151.69999999999999"/>
    <n v="152.69999999999999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x v="87"/>
    <n v="144.5"/>
    <n v="152.5"/>
    <n v="152.19999999999999"/>
    <n v="142"/>
    <n v="150.80000000000001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x v="87"/>
    <n v="148.30000000000001"/>
    <n v="156.4"/>
    <n v="151.6"/>
    <n v="147"/>
    <n v="151.80000000000001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x v="88"/>
    <n v="153.19999999999999"/>
    <n v="161.80000000000001"/>
    <n v="151.19999999999999"/>
    <n v="151.69999999999999"/>
    <n v="152.69999999999999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x v="88"/>
    <n v="144.5"/>
    <n v="152.5"/>
    <n v="152.19999999999999"/>
    <n v="142"/>
    <n v="150.80000000000001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x v="88"/>
    <n v="148.30000000000001"/>
    <n v="156.4"/>
    <n v="151.6"/>
    <n v="147"/>
    <n v="151.80000000000001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x v="89"/>
    <n v="152.19999999999999"/>
    <n v="162.69999999999999"/>
    <n v="153.6"/>
    <n v="153"/>
    <n v="154.69999999999999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x v="89"/>
    <n v="141.19999999999999"/>
    <n v="155.5"/>
    <n v="155.19999999999999"/>
    <n v="144.80000000000001"/>
    <n v="152.9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x v="89"/>
    <n v="146"/>
    <n v="158.5"/>
    <n v="154.30000000000001"/>
    <n v="149"/>
    <n v="153.9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x v="90"/>
    <n v="152.80000000000001"/>
    <n v="161.1"/>
    <n v="157.4"/>
    <n v="153.69999999999999"/>
    <n v="155.4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x v="90"/>
    <n v="141.80000000000001"/>
    <n v="154.9"/>
    <n v="159.80000000000001"/>
    <n v="146"/>
    <n v="154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x v="90"/>
    <n v="146.6"/>
    <n v="157.5"/>
    <n v="158.4"/>
    <n v="150"/>
    <n v="154.69999999999999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x v="91"/>
    <n v="152.4"/>
    <n v="162.5"/>
    <n v="156.19999999999999"/>
    <n v="154.30000000000001"/>
    <n v="157.5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x v="91"/>
    <n v="142"/>
    <n v="155.69999999999999"/>
    <n v="158.1"/>
    <n v="146.19999999999999"/>
    <n v="155.19999999999999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x v="91"/>
    <n v="146.5"/>
    <n v="158.5"/>
    <n v="157"/>
    <n v="150.4"/>
    <n v="156.4"/>
  </r>
  <r>
    <x v="0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x v="92"/>
    <n v="153.6"/>
    <n v="161.6"/>
    <n v="156.19999999999999"/>
    <n v="154.5"/>
    <n v="159.80000000000001"/>
  </r>
  <r>
    <x v="1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x v="92"/>
    <n v="144.4"/>
    <n v="156.4"/>
    <n v="157.9"/>
    <n v="146.6"/>
    <n v="156.69999999999999"/>
  </r>
  <r>
    <x v="2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x v="92"/>
    <n v="148.4"/>
    <n v="158.6"/>
    <n v="156.9"/>
    <n v="150.69999999999999"/>
    <n v="158.4"/>
  </r>
  <r>
    <x v="0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x v="93"/>
    <n v="153.9"/>
    <n v="162.9"/>
    <n v="156.6"/>
    <n v="155.19999999999999"/>
    <n v="160.69999999999999"/>
  </r>
  <r>
    <x v="1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x v="93"/>
    <n v="144.30000000000001"/>
    <n v="156.9"/>
    <n v="157.9"/>
    <n v="146.9"/>
    <n v="156.9"/>
  </r>
  <r>
    <x v="2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x v="93"/>
    <n v="148.5"/>
    <n v="159.4"/>
    <n v="157.1"/>
    <n v="151.19999999999999"/>
    <n v="158.9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x v="94"/>
    <n v="155.1"/>
    <n v="163.5"/>
    <n v="156.19999999999999"/>
    <n v="155.9"/>
    <n v="158.5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x v="94"/>
    <n v="145.4"/>
    <n v="156.1"/>
    <n v="157.69999999999999"/>
    <n v="147.6"/>
    <n v="156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x v="94"/>
    <n v="149.6"/>
    <n v="159.19999999999999"/>
    <n v="156.80000000000001"/>
    <n v="151.9"/>
    <n v="157.30000000000001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x v="95"/>
    <n v="157"/>
    <n v="163.6"/>
    <n v="155.19999999999999"/>
    <n v="157.19999999999999"/>
    <n v="156.69999999999999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x v="95"/>
    <n v="147.30000000000001"/>
    <n v="156.6"/>
    <n v="156.69999999999999"/>
    <n v="149.30000000000001"/>
    <n v="156.5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x v="95"/>
    <n v="151.5"/>
    <n v="159.5"/>
    <n v="155.80000000000001"/>
    <n v="153.4"/>
    <n v="156.6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x v="96"/>
    <n v="157.80000000000001"/>
    <n v="163.80000000000001"/>
    <n v="153.1"/>
    <n v="157.30000000000001"/>
    <n v="156.69999999999999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x v="96"/>
    <n v="148.6"/>
    <n v="157.6"/>
    <n v="154.9"/>
    <n v="150"/>
    <n v="156.9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x v="96"/>
    <n v="152.6"/>
    <n v="160.19999999999999"/>
    <n v="153.80000000000001"/>
    <n v="153.80000000000001"/>
    <n v="156.80000000000001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x v="97"/>
    <n v="158.6"/>
    <n v="164.1"/>
    <n v="154.6"/>
    <n v="158"/>
    <n v="157.6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x v="97"/>
    <n v="149.1"/>
    <n v="157.6"/>
    <n v="156.6"/>
    <n v="150.5"/>
    <n v="158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x v="97"/>
    <n v="153.19999999999999"/>
    <n v="160.30000000000001"/>
    <n v="155.4"/>
    <n v="154.4"/>
    <n v="157.80000000000001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x v="98"/>
    <n v="160"/>
    <n v="167.6"/>
    <n v="159.30000000000001"/>
    <n v="161.1"/>
    <n v="161.1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x v="98"/>
    <n v="152.6"/>
    <n v="156.6"/>
    <n v="157.5"/>
    <n v="152.30000000000001"/>
    <n v="159.5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x v="98"/>
    <n v="155.80000000000001"/>
    <n v="161.19999999999999"/>
    <n v="158.6"/>
    <n v="156.80000000000001"/>
    <n v="160.4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x v="99"/>
    <n v="160.4"/>
    <n v="166.8"/>
    <n v="159.4"/>
    <n v="161.5"/>
    <n v="162.1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x v="99"/>
    <n v="150.69999999999999"/>
    <n v="158.1"/>
    <n v="158"/>
    <n v="153.4"/>
    <n v="160.4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x v="99"/>
    <n v="154.9"/>
    <n v="161.69999999999999"/>
    <n v="158.80000000000001"/>
    <n v="157.6"/>
    <n v="161.30000000000001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x v="100"/>
    <n v="160.69999999999999"/>
    <n v="167.2"/>
    <n v="160.4"/>
    <n v="162.80000000000001"/>
    <n v="163.19999999999999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x v="100"/>
    <n v="151.19999999999999"/>
    <n v="160.30000000000001"/>
    <n v="159.6"/>
    <n v="155"/>
    <n v="161.80000000000001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x v="100"/>
    <n v="155.30000000000001"/>
    <n v="163.19999999999999"/>
    <n v="160.1"/>
    <n v="159"/>
    <n v="162.5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x v="101"/>
    <n v="161.1"/>
    <n v="167.5"/>
    <n v="160.30000000000001"/>
    <n v="163.30000000000001"/>
    <n v="163.6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x v="101"/>
    <n v="153.69999999999999"/>
    <n v="160.4"/>
    <n v="159.6"/>
    <n v="156"/>
    <n v="162.30000000000001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x v="101"/>
    <n v="157.6"/>
    <n v="163.80000000000001"/>
    <n v="160"/>
    <n v="160"/>
    <n v="163.19999999999999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x v="102"/>
    <n v="162.69999999999999"/>
    <n v="168.5"/>
    <n v="160.19999999999999"/>
    <n v="163.80000000000001"/>
    <n v="164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x v="102"/>
    <n v="153.9"/>
    <n v="160.30000000000001"/>
    <n v="159.6"/>
    <n v="156"/>
    <n v="162.30000000000001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x v="102"/>
    <n v="157.69999999999999"/>
    <n v="163.69999999999999"/>
    <n v="160"/>
    <n v="160"/>
    <n v="163.19999999999999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x v="103"/>
    <n v="163.19999999999999"/>
    <n v="169"/>
    <n v="161.1"/>
    <n v="164.7"/>
    <n v="166.3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x v="103"/>
    <n v="155.1"/>
    <n v="160.30000000000001"/>
    <n v="160.30000000000001"/>
    <n v="157"/>
    <n v="164.6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x v="103"/>
    <n v="158.6"/>
    <n v="163.9"/>
    <n v="160.80000000000001"/>
    <n v="161"/>
    <n v="165.5"/>
  </r>
  <r>
    <x v="0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x v="104"/>
    <n v="163.80000000000001"/>
    <n v="169.3"/>
    <n v="162.4"/>
    <n v="165.2"/>
    <n v="167.6"/>
  </r>
  <r>
    <x v="1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x v="104"/>
    <n v="156.69999999999999"/>
    <n v="160.80000000000001"/>
    <n v="161.80000000000001"/>
    <n v="157.30000000000001"/>
    <n v="165.6"/>
  </r>
  <r>
    <x v="2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x v="104"/>
    <n v="159.80000000000001"/>
    <n v="164.3"/>
    <n v="162.19999999999999"/>
    <n v="161.4"/>
    <n v="166.7"/>
  </r>
  <r>
    <x v="0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x v="105"/>
    <n v="164.5"/>
    <n v="169.7"/>
    <n v="162.80000000000001"/>
    <n v="166"/>
    <n v="167"/>
  </r>
  <r>
    <x v="1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x v="105"/>
    <n v="157.6"/>
    <n v="160.6"/>
    <n v="162.4"/>
    <n v="157.80000000000001"/>
    <n v="165.2"/>
  </r>
  <r>
    <x v="2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x v="105"/>
    <n v="160.6"/>
    <n v="164.4"/>
    <n v="162.6"/>
    <n v="162"/>
    <n v="166.2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x v="106"/>
    <n v="164.9"/>
    <n v="169.9"/>
    <n v="163.19999999999999"/>
    <n v="166.6"/>
    <n v="166.4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x v="106"/>
    <n v="158.4"/>
    <n v="161"/>
    <n v="162.80000000000001"/>
    <n v="158.6"/>
    <n v="165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x v="106"/>
    <n v="161.19999999999999"/>
    <n v="164.7"/>
    <n v="163"/>
    <n v="162.69999999999999"/>
    <n v="165.7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x v="107"/>
    <n v="165.5"/>
    <n v="170.3"/>
    <n v="164.5"/>
    <n v="167.3"/>
    <n v="166.7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x v="107"/>
    <n v="159.5"/>
    <n v="162"/>
    <n v="164.2"/>
    <n v="159.4"/>
    <n v="165.5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x v="107"/>
    <n v="162.1"/>
    <n v="165.4"/>
    <n v="164.4"/>
    <n v="163.5"/>
    <n v="166.1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x v="108"/>
    <n v="166.6"/>
    <n v="170.6"/>
    <n v="167.4"/>
    <n v="168.3"/>
    <n v="168.7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x v="108"/>
    <n v="160.80000000000001"/>
    <n v="162.69999999999999"/>
    <n v="166.8"/>
    <n v="160.6"/>
    <n v="166.5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x v="108"/>
    <n v="163.30000000000001"/>
    <n v="166"/>
    <n v="167.2"/>
    <n v="164.6"/>
    <n v="167.7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x v="109"/>
    <n v="167.2"/>
    <n v="170.9"/>
    <n v="169"/>
    <n v="170.2"/>
    <n v="170.8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x v="109"/>
    <n v="162.19999999999999"/>
    <n v="164"/>
    <n v="168.4"/>
    <n v="163.1"/>
    <n v="169.2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x v="109"/>
    <n v="164.4"/>
    <n v="166.9"/>
    <n v="168.8"/>
    <n v="166.8"/>
    <n v="170.1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x v="110"/>
    <n v="167.6"/>
    <n v="171.8"/>
    <n v="168.5"/>
    <n v="170.9"/>
    <n v="172.5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x v="110"/>
    <n v="163.19999999999999"/>
    <n v="165.2"/>
    <n v="168.2"/>
    <n v="163.80000000000001"/>
    <n v="170.8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x v="110"/>
    <n v="165.1"/>
    <n v="167.9"/>
    <n v="168.4"/>
    <n v="167.5"/>
    <n v="171.7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x v="111"/>
    <n v="168"/>
    <n v="172.6"/>
    <n v="169.5"/>
    <n v="171"/>
    <n v="173.6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x v="111"/>
    <n v="164.1"/>
    <n v="166.5"/>
    <n v="169.2"/>
    <n v="163.80000000000001"/>
    <n v="171.4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x v="111"/>
    <n v="165.8"/>
    <n v="169"/>
    <n v="169.4"/>
    <n v="167.5"/>
    <n v="172.6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x v="112"/>
    <n v="168.6"/>
    <n v="174.7"/>
    <n v="169.7"/>
    <n v="171.8"/>
    <n v="174.3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x v="112"/>
    <n v="164.6"/>
    <n v="169.1"/>
    <n v="169.8"/>
    <n v="164.7"/>
    <n v="172.3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x v="112"/>
    <n v="166.3"/>
    <n v="171.4"/>
    <n v="169.7"/>
    <n v="168.4"/>
    <n v="173.4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x v="113"/>
    <n v="169.3"/>
    <n v="175.7"/>
    <n v="171.1"/>
    <n v="172.6"/>
    <n v="175.3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x v="113"/>
    <n v="165.1"/>
    <n v="169.9"/>
    <n v="171.4"/>
    <n v="165.4"/>
    <n v="173.1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x v="113"/>
    <n v="166.9"/>
    <n v="172.3"/>
    <n v="171.2"/>
    <n v="169.1"/>
    <n v="174.3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x v="114"/>
    <n v="170"/>
    <n v="176.2"/>
    <n v="170.8"/>
    <n v="173.1"/>
    <n v="176.4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x v="114"/>
    <n v="165.8"/>
    <n v="170.9"/>
    <n v="171.1"/>
    <n v="166.1"/>
    <n v="174.1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x v="114"/>
    <n v="167.6"/>
    <n v="173.1"/>
    <n v="170.9"/>
    <n v="169.7"/>
    <n v="175.3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x v="115"/>
    <n v="170.6"/>
    <n v="176.5"/>
    <n v="172"/>
    <n v="173.9"/>
    <n v="177.9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x v="115"/>
    <n v="166.3"/>
    <n v="171.2"/>
    <n v="172.3"/>
    <n v="166.8"/>
    <n v="175.3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x v="115"/>
    <n v="168.2"/>
    <n v="173.4"/>
    <n v="172.1"/>
    <n v="170.5"/>
    <n v="176.7"/>
  </r>
  <r>
    <x v="0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x v="116"/>
    <n v="170.8"/>
    <n v="176.9"/>
    <n v="173.4"/>
    <n v="174.6"/>
    <n v="177.8"/>
  </r>
  <r>
    <x v="1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x v="116"/>
    <n v="166.7"/>
    <n v="171.5"/>
    <n v="173.8"/>
    <n v="167.4"/>
    <n v="174.1"/>
  </r>
  <r>
    <x v="2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x v="116"/>
    <n v="168.5"/>
    <n v="173.7"/>
    <n v="173.6"/>
    <n v="171.1"/>
    <n v="176.5"/>
  </r>
  <r>
    <x v="0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x v="117"/>
    <n v="171.2"/>
    <n v="177.3"/>
    <n v="175.7"/>
    <n v="175.5"/>
    <n v="177.1"/>
  </r>
  <r>
    <x v="1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x v="117"/>
    <n v="167.1"/>
    <n v="171.8"/>
    <n v="176"/>
    <n v="168.2"/>
    <n v="174.1"/>
  </r>
  <r>
    <x v="2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x v="117"/>
    <n v="168.9"/>
    <n v="174.1"/>
    <n v="175.8"/>
    <n v="172"/>
    <n v="175.7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x v="118"/>
    <n v="171.8"/>
    <n v="177.8"/>
    <n v="178.4"/>
    <n v="176.5"/>
    <n v="177.8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x v="118"/>
    <n v="167.8"/>
    <n v="171.8"/>
    <n v="178.8"/>
    <n v="168.9"/>
    <n v="174.9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x v="118"/>
    <n v="169.5"/>
    <n v="174.3"/>
    <n v="178.6"/>
    <n v="172.8"/>
    <n v="176.5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x v="119"/>
    <n v="172.8"/>
    <n v="178.5"/>
    <n v="180.7"/>
    <n v="177.9"/>
    <n v="178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x v="119"/>
    <n v="168.4"/>
    <n v="172.5"/>
    <n v="181.4"/>
    <n v="170"/>
    <n v="176.3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x v="119"/>
    <n v="170.3"/>
    <n v="175"/>
    <n v="181"/>
    <n v="174.1"/>
    <n v="177.2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x v="120"/>
    <n v="172.8"/>
    <n v="178.5"/>
    <n v="180.7"/>
    <n v="177.9"/>
    <n v="178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x v="120"/>
    <n v="168.4"/>
    <n v="172.5"/>
    <n v="181.5"/>
    <n v="170"/>
    <n v="176.3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x v="120"/>
    <n v="170.3"/>
    <n v="175"/>
    <n v="181"/>
    <n v="174.1"/>
    <n v="177.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x v="121"/>
    <n v="173.2"/>
    <n v="179.4"/>
    <n v="183.8"/>
    <n v="178.9"/>
    <n v="178.8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x v="121"/>
    <n v="168.8"/>
    <n v="174.2"/>
    <n v="184.4"/>
    <n v="170.9"/>
    <n v="177.4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x v="121"/>
    <n v="170.7"/>
    <n v="176.4"/>
    <n v="184"/>
    <n v="175"/>
    <n v="178.1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x v="122"/>
    <n v="173.8"/>
    <n v="180.3"/>
    <n v="184.9"/>
    <n v="179.5"/>
    <n v="179.8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x v="122"/>
    <n v="169.2"/>
    <n v="174.8"/>
    <n v="185.6"/>
    <n v="171.6"/>
    <n v="178.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x v="122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4823E-943A-4D99-97B4-4A5026B89A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8:E52" firstHeaderRow="1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item="4" hier="-1"/>
    <pageField fld="1" item="10" hier="-1"/>
  </pageFields>
  <dataFields count="1">
    <dataField name="Sum of Health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545CC-AE2F-474E-9ED6-FEA013E50AD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0:E64" firstHeaderRow="1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item="4" hier="-1"/>
    <pageField fld="1" item="10" hier="-1"/>
  </pageFields>
  <dataFields count="1">
    <dataField name="Sum of Education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7D60B-369C-49CD-9C35-AED7C154C77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9:H63" firstHeaderRow="1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item="4" hier="-1"/>
    <pageField fld="1" item="10" hier="-1"/>
  </pageFields>
  <dataFields count="1">
    <dataField name="Sum of Transport and communication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39005-E9DA-41A8-8079-1595676B5E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6:G40" firstHeaderRow="0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item="4" hier="-1"/>
    <pageField fld="1" item="10" hier="-1"/>
  </pageFields>
  <dataFields count="3">
    <dataField name="Sum of Housing" fld="20" baseField="0" baseItem="0"/>
    <dataField name="Sum of Fuel and light" fld="21" baseField="0" baseItem="0"/>
    <dataField name="Sum of Household goods and servic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2FF59-7B7E-4AEB-AE44-27E6748879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F26" firstHeaderRow="0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2" item="4" hier="-1"/>
    <pageField fld="1" item="10" hier="-1"/>
  </pageFields>
  <dataFields count="2">
    <dataField name="Sum of Clothing and footwear" fld="19" baseField="0" baseItem="0"/>
    <dataField name="Sum of Footwear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65BA0-081F-4DDF-916B-988C236CCE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P12" firstHeaderRow="0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2" item="4" hier="-1"/>
    <pageField fld="1" item="10" hier="-1"/>
  </pageFields>
  <dataFields count="13">
    <dataField name="Sum of Milk and products" fld="6" baseField="0" baseItem="0"/>
    <dataField name="Sum of Pulses and products" fld="10" baseField="0" baseItem="0"/>
    <dataField name="Sum of Egg" fld="5" baseField="0" baseItem="0"/>
    <dataField name="Sum of Meat and fish" fld="4" baseField="0" baseItem="0"/>
    <dataField name="Sum of Cereals and products" fld="3" baseField="0" baseItem="0"/>
    <dataField name="Sum of Vegetables" fld="9" baseField="0" baseItem="0"/>
    <dataField name="Sum of Sugar and Confectionery" fld="11" baseField="0" baseItem="0"/>
    <dataField name="Sum of Fruits" fld="8" baseField="0" baseItem="0"/>
    <dataField name="Sum of Oils and fats" fld="7" baseField="0" baseItem="0"/>
    <dataField name="Sum of Spices" fld="12" baseField="0" baseItem="0"/>
    <dataField name="Sum of Non-alcoholic beverages" fld="13" baseField="0" baseItem="0"/>
    <dataField name="Sum of Food and beverages" fld="15" baseField="0" baseItem="0"/>
    <dataField name="Sum of Prepared meals, snacks, sweets etc.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24153-26F9-4C53-B099-58FF21DF41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8:J52" firstHeaderRow="0" firstDataRow="1" firstDataCol="1" rowPageCount="2" colPageCount="1"/>
  <pivotFields count="31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item="4" hier="-1"/>
    <pageField fld="1" item="10" hier="-1"/>
  </pageFields>
  <dataFields count="3">
    <dataField name="Sum of Personal care and effects" fld="28" baseField="0" baseItem="0"/>
    <dataField name="Sum of Recreation and amusement" fld="26" baseField="0" baseItem="0"/>
    <dataField name="Sum of Pan, tobacco and intoxicant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DC401-89ED-471D-AC6B-70BB6F5A8C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13" firstHeaderRow="1" firstDataRow="2" firstDataCol="1"/>
  <pivotFields count="31">
    <pivotField multipleItemSelectionAllowed="1" showAll="0"/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General index" fld="30" subtotal="average" baseField="1" baseItem="6"/>
  </dataFields>
  <formats count="1">
    <format dxfId="5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FD0EE-AD3A-490D-8473-9AD032F0D52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M32" firstHeaderRow="0" firstDataRow="1" firstDataCol="1" rowPageCount="2" colPageCount="1"/>
  <pivotFields count="31">
    <pivotField axis="axisPage" showAll="0">
      <items count="4">
        <item x="0"/>
        <item x="2"/>
        <item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4">
        <item x="3"/>
        <item x="15"/>
        <item x="27"/>
        <item x="39"/>
        <item x="51"/>
        <item x="63"/>
        <item x="86"/>
        <item x="97"/>
        <item h="1" x="109"/>
        <item x="110"/>
        <item x="111"/>
        <item x="112"/>
        <item x="113"/>
        <item x="114"/>
        <item x="115"/>
        <item x="116"/>
        <item x="7"/>
        <item x="19"/>
        <item x="31"/>
        <item x="43"/>
        <item x="55"/>
        <item x="67"/>
        <item x="78"/>
        <item x="89"/>
        <item x="101"/>
        <item x="11"/>
        <item x="23"/>
        <item x="35"/>
        <item x="47"/>
        <item x="59"/>
        <item x="71"/>
        <item x="82"/>
        <item x="93"/>
        <item x="105"/>
        <item x="117"/>
        <item x="1"/>
        <item x="13"/>
        <item x="25"/>
        <item x="37"/>
        <item x="49"/>
        <item x="61"/>
        <item x="73"/>
        <item x="84"/>
        <item x="95"/>
        <item h="1" x="107"/>
        <item x="0"/>
        <item x="12"/>
        <item x="24"/>
        <item x="36"/>
        <item x="48"/>
        <item x="60"/>
        <item x="72"/>
        <item x="83"/>
        <item x="94"/>
        <item h="1" x="106"/>
        <item x="118"/>
        <item x="6"/>
        <item x="18"/>
        <item x="30"/>
        <item x="42"/>
        <item x="54"/>
        <item x="66"/>
        <item x="77"/>
        <item x="88"/>
        <item x="100"/>
        <item x="5"/>
        <item x="17"/>
        <item x="29"/>
        <item x="41"/>
        <item x="53"/>
        <item x="65"/>
        <item x="76"/>
        <item x="87"/>
        <item x="99"/>
        <item x="2"/>
        <item x="14"/>
        <item x="26"/>
        <item x="38"/>
        <item x="50"/>
        <item x="62"/>
        <item x="74"/>
        <item x="85"/>
        <item x="96"/>
        <item h="1" x="108"/>
        <item x="119"/>
        <item x="120"/>
        <item x="4"/>
        <item x="16"/>
        <item x="28"/>
        <item x="40"/>
        <item x="52"/>
        <item x="64"/>
        <item x="75"/>
        <item x="98"/>
        <item x="121"/>
        <item x="122"/>
        <item x="10"/>
        <item x="22"/>
        <item x="34"/>
        <item x="46"/>
        <item x="58"/>
        <item x="70"/>
        <item x="81"/>
        <item x="92"/>
        <item x="104"/>
        <item x="9"/>
        <item x="21"/>
        <item x="33"/>
        <item x="45"/>
        <item x="57"/>
        <item x="69"/>
        <item x="80"/>
        <item x="91"/>
        <item x="103"/>
        <item x="8"/>
        <item x="20"/>
        <item x="32"/>
        <item x="44"/>
        <item x="56"/>
        <item x="68"/>
        <item x="79"/>
        <item x="90"/>
        <item x="102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14">
    <i>
      <x v="9"/>
    </i>
    <i>
      <x v="10"/>
    </i>
    <i>
      <x v="11"/>
    </i>
    <i>
      <x v="12"/>
    </i>
    <i>
      <x v="13"/>
    </i>
    <i>
      <x v="14"/>
    </i>
    <i>
      <x v="15"/>
    </i>
    <i>
      <x v="34"/>
    </i>
    <i>
      <x v="55"/>
    </i>
    <i>
      <x v="84"/>
    </i>
    <i>
      <x v="85"/>
    </i>
    <i>
      <x v="94"/>
    </i>
    <i>
      <x v="9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2">
    <pageField fld="1" hier="-1"/>
    <pageField fld="0" item="1" hier="-1"/>
  </pageFields>
  <dataFields count="11">
    <dataField name="Average of Oils and fats" fld="7" subtotal="average" baseField="0" baseItem="0"/>
    <dataField name="Average of Cereals and products" fld="3" subtotal="average" baseField="0" baseItem="0"/>
    <dataField name="Average of Meat and fish" fld="4" subtotal="average" baseField="0" baseItem="0"/>
    <dataField name="Average of Milk and products" fld="6" subtotal="average" baseField="0" baseItem="0"/>
    <dataField name="Average of Fruits" fld="8" subtotal="average" baseField="0" baseItem="0"/>
    <dataField name="Average of Egg" fld="5" subtotal="average" baseField="0" baseItem="0"/>
    <dataField name="Average of Vegetables" fld="9" subtotal="average" baseField="0" baseItem="0"/>
    <dataField name="Average of Pulses and products" fld="10" subtotal="average" baseField="0" baseItem="0"/>
    <dataField name="Average of Sugar and Confectionery" fld="11" subtotal="average" baseField="0" baseItem="0"/>
    <dataField name="Sum of Spices" fld="12" baseField="0" baseItem="0"/>
    <dataField name="Average of Food and beverages" fld="15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360BF-97A2-483F-B388-DDA86CF83F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M27" firstHeaderRow="0" firstDataRow="1" firstDataCol="1" rowPageCount="2" colPageCount="1"/>
  <pivotFields count="31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4">
        <item x="114"/>
        <item x="102"/>
        <item x="72"/>
        <item x="73"/>
        <item x="70"/>
        <item x="58"/>
        <item x="46"/>
        <item x="34"/>
        <item x="22"/>
        <item x="10"/>
        <item x="122"/>
        <item x="110"/>
        <item x="98"/>
        <item x="74"/>
        <item x="75"/>
        <item x="64"/>
        <item x="52"/>
        <item x="40"/>
        <item x="28"/>
        <item x="16"/>
        <item x="4"/>
        <item x="120"/>
        <item x="108"/>
        <item x="96"/>
        <item x="76"/>
        <item x="77"/>
        <item x="78"/>
        <item x="79"/>
        <item x="80"/>
        <item x="81"/>
        <item x="82"/>
        <item x="83"/>
        <item x="84"/>
        <item x="85"/>
        <item x="62"/>
        <item x="50"/>
        <item x="38"/>
        <item x="26"/>
        <item x="14"/>
        <item x="2"/>
        <item x="111"/>
        <item x="99"/>
        <item x="86"/>
        <item x="87"/>
        <item x="65"/>
        <item x="53"/>
        <item x="41"/>
        <item x="29"/>
        <item x="17"/>
        <item x="5"/>
        <item x="112"/>
        <item x="100"/>
        <item x="88"/>
        <item x="89"/>
        <item x="90"/>
        <item x="68"/>
        <item x="56"/>
        <item x="44"/>
        <item x="32"/>
        <item x="20"/>
        <item x="8"/>
        <item x="115"/>
        <item x="103"/>
        <item x="91"/>
        <item x="69"/>
        <item x="57"/>
        <item x="45"/>
        <item x="33"/>
        <item x="21"/>
        <item x="9"/>
        <item x="116"/>
        <item x="104"/>
        <item x="92"/>
        <item x="66"/>
        <item x="54"/>
        <item x="42"/>
        <item x="30"/>
        <item x="18"/>
        <item x="6"/>
        <item x="118"/>
        <item x="106"/>
        <item x="94"/>
        <item x="60"/>
        <item x="48"/>
        <item x="36"/>
        <item x="24"/>
        <item x="12"/>
        <item x="0"/>
        <item x="119"/>
        <item x="107"/>
        <item x="95"/>
        <item x="61"/>
        <item x="49"/>
        <item x="37"/>
        <item x="25"/>
        <item x="13"/>
        <item x="1"/>
        <item x="117"/>
        <item x="105"/>
        <item x="93"/>
        <item x="71"/>
        <item x="59"/>
        <item x="47"/>
        <item x="35"/>
        <item x="23"/>
        <item x="11"/>
        <item x="113"/>
        <item x="101"/>
        <item x="67"/>
        <item x="55"/>
        <item x="43"/>
        <item x="31"/>
        <item x="19"/>
        <item x="7"/>
        <item x="121"/>
        <item x="109"/>
        <item x="97"/>
        <item x="63"/>
        <item x="51"/>
        <item x="39"/>
        <item x="27"/>
        <item x="1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23">
    <i>
      <x v="2"/>
    </i>
    <i>
      <x v="3"/>
    </i>
    <i>
      <x v="13"/>
    </i>
    <i>
      <x v="14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42"/>
    </i>
    <i>
      <x v="43"/>
    </i>
    <i>
      <x v="52"/>
    </i>
    <i>
      <x v="53"/>
    </i>
    <i>
      <x v="54"/>
    </i>
    <i>
      <x v="63"/>
    </i>
    <i>
      <x v="72"/>
    </i>
    <i>
      <x v="99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2" hier="-1"/>
    <pageField fld="1" hier="-1"/>
  </pageFields>
  <dataFields count="12">
    <dataField name="Average of Meat and fish" fld="4" subtotal="average" baseField="0" baseItem="0"/>
    <dataField name="Average of Cereals and products" fld="3" subtotal="average" baseField="0" baseItem="0"/>
    <dataField name="Average of Pulses and products" fld="10" subtotal="average" baseField="0" baseItem="0"/>
    <dataField name="Average of Prepared meals, snacks, sweets etc." fld="14" subtotal="average" baseField="0" baseItem="0"/>
    <dataField name="Average of Fruits" fld="8" subtotal="average" baseField="0" baseItem="0"/>
    <dataField name="Average of Spices" fld="12" subtotal="average" baseField="0" baseItem="0"/>
    <dataField name="Average of Oils and fats" fld="7" subtotal="average" baseField="0" baseItem="0"/>
    <dataField name="Average of Egg" fld="5" subtotal="average" baseField="0" baseItem="0"/>
    <dataField name="Average of Food and beverages" fld="15" subtotal="average" baseField="0" baseItem="0"/>
    <dataField name="Average of Sugar and Confectionery" fld="11" subtotal="average" baseField="0" baseItem="0"/>
    <dataField name="Average of Vegetables" fld="9" subtotal="average" baseField="0" baseItem="0"/>
    <dataField name="Average of Milk and products" fld="6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A139E-1855-4CF8-8943-A88D51BE5A5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90:D113" firstHeaderRow="0" firstDataRow="1" firstDataCol="1" rowPageCount="2" colPageCount="1"/>
  <pivotFields count="31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24">
        <item x="114"/>
        <item x="102"/>
        <item x="72"/>
        <item x="73"/>
        <item x="70"/>
        <item x="58"/>
        <item x="46"/>
        <item x="34"/>
        <item x="22"/>
        <item x="10"/>
        <item x="122"/>
        <item x="110"/>
        <item x="98"/>
        <item x="74"/>
        <item x="75"/>
        <item x="64"/>
        <item x="52"/>
        <item x="40"/>
        <item x="28"/>
        <item x="16"/>
        <item x="4"/>
        <item x="120"/>
        <item x="108"/>
        <item x="96"/>
        <item x="76"/>
        <item x="77"/>
        <item x="78"/>
        <item x="79"/>
        <item x="80"/>
        <item x="81"/>
        <item x="82"/>
        <item x="83"/>
        <item x="84"/>
        <item x="85"/>
        <item x="62"/>
        <item x="50"/>
        <item x="38"/>
        <item x="26"/>
        <item x="14"/>
        <item x="2"/>
        <item x="111"/>
        <item x="99"/>
        <item x="86"/>
        <item x="87"/>
        <item x="65"/>
        <item x="53"/>
        <item x="41"/>
        <item x="29"/>
        <item x="17"/>
        <item x="5"/>
        <item x="112"/>
        <item x="100"/>
        <item x="88"/>
        <item x="89"/>
        <item x="90"/>
        <item x="68"/>
        <item x="56"/>
        <item x="44"/>
        <item x="32"/>
        <item x="20"/>
        <item x="8"/>
        <item x="115"/>
        <item x="103"/>
        <item x="91"/>
        <item x="69"/>
        <item x="57"/>
        <item x="45"/>
        <item x="33"/>
        <item x="21"/>
        <item x="9"/>
        <item x="116"/>
        <item x="104"/>
        <item x="92"/>
        <item x="66"/>
        <item x="54"/>
        <item x="42"/>
        <item x="30"/>
        <item x="18"/>
        <item x="6"/>
        <item x="118"/>
        <item x="106"/>
        <item x="94"/>
        <item x="60"/>
        <item x="48"/>
        <item x="36"/>
        <item x="24"/>
        <item x="12"/>
        <item x="0"/>
        <item x="119"/>
        <item x="107"/>
        <item x="95"/>
        <item x="61"/>
        <item x="49"/>
        <item x="37"/>
        <item x="25"/>
        <item x="13"/>
        <item x="1"/>
        <item x="117"/>
        <item x="105"/>
        <item x="93"/>
        <item x="71"/>
        <item x="59"/>
        <item x="47"/>
        <item x="35"/>
        <item x="23"/>
        <item x="11"/>
        <item x="113"/>
        <item x="101"/>
        <item x="67"/>
        <item x="55"/>
        <item x="43"/>
        <item x="31"/>
        <item x="19"/>
        <item x="7"/>
        <item x="121"/>
        <item x="109"/>
        <item x="97"/>
        <item x="63"/>
        <item x="51"/>
        <item x="39"/>
        <item x="27"/>
        <item x="1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23">
    <i>
      <x v="2"/>
    </i>
    <i>
      <x v="3"/>
    </i>
    <i>
      <x v="13"/>
    </i>
    <i>
      <x v="14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42"/>
    </i>
    <i>
      <x v="43"/>
    </i>
    <i>
      <x v="52"/>
    </i>
    <i>
      <x v="53"/>
    </i>
    <i>
      <x v="54"/>
    </i>
    <i>
      <x v="63"/>
    </i>
    <i>
      <x v="72"/>
    </i>
    <i>
      <x v="99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Average of Fuel and light" fld="21" subtotal="average" baseField="0" baseItem="0"/>
    <dataField name="Average of Transport and communication" fld="24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C53D9-76CF-4357-81DE-7D43FABA7D2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59:C82" firstHeaderRow="1" firstDataRow="1" firstDataCol="1" rowPageCount="2" colPageCount="1"/>
  <pivotFields count="31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4">
        <item x="114"/>
        <item x="102"/>
        <item x="72"/>
        <item x="73"/>
        <item x="70"/>
        <item x="58"/>
        <item x="46"/>
        <item x="34"/>
        <item x="22"/>
        <item x="10"/>
        <item x="122"/>
        <item x="110"/>
        <item x="98"/>
        <item x="74"/>
        <item x="75"/>
        <item x="64"/>
        <item x="52"/>
        <item x="40"/>
        <item x="28"/>
        <item x="16"/>
        <item x="4"/>
        <item x="120"/>
        <item x="108"/>
        <item x="96"/>
        <item x="76"/>
        <item x="77"/>
        <item x="78"/>
        <item x="79"/>
        <item x="80"/>
        <item x="81"/>
        <item x="82"/>
        <item x="83"/>
        <item x="84"/>
        <item x="85"/>
        <item x="62"/>
        <item x="50"/>
        <item x="38"/>
        <item x="26"/>
        <item x="14"/>
        <item x="2"/>
        <item x="111"/>
        <item x="99"/>
        <item x="86"/>
        <item x="87"/>
        <item x="65"/>
        <item x="53"/>
        <item x="41"/>
        <item x="29"/>
        <item x="17"/>
        <item x="5"/>
        <item x="112"/>
        <item x="100"/>
        <item x="88"/>
        <item x="89"/>
        <item x="90"/>
        <item x="68"/>
        <item x="56"/>
        <item x="44"/>
        <item x="32"/>
        <item x="20"/>
        <item x="8"/>
        <item x="115"/>
        <item x="103"/>
        <item x="91"/>
        <item x="69"/>
        <item x="57"/>
        <item x="45"/>
        <item x="33"/>
        <item x="21"/>
        <item x="9"/>
        <item x="116"/>
        <item x="104"/>
        <item x="92"/>
        <item x="66"/>
        <item x="54"/>
        <item x="42"/>
        <item x="30"/>
        <item x="18"/>
        <item x="6"/>
        <item x="118"/>
        <item x="106"/>
        <item x="94"/>
        <item x="60"/>
        <item x="48"/>
        <item x="36"/>
        <item x="24"/>
        <item x="12"/>
        <item x="0"/>
        <item x="119"/>
        <item x="107"/>
        <item x="95"/>
        <item x="61"/>
        <item x="49"/>
        <item x="37"/>
        <item x="25"/>
        <item x="13"/>
        <item x="1"/>
        <item x="117"/>
        <item x="105"/>
        <item x="93"/>
        <item x="71"/>
        <item x="59"/>
        <item x="47"/>
        <item x="35"/>
        <item x="23"/>
        <item x="11"/>
        <item x="113"/>
        <item x="101"/>
        <item x="67"/>
        <item x="55"/>
        <item x="43"/>
        <item x="31"/>
        <item x="19"/>
        <item x="7"/>
        <item x="121"/>
        <item x="109"/>
        <item x="97"/>
        <item x="63"/>
        <item x="51"/>
        <item x="39"/>
        <item x="27"/>
        <item x="1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23">
    <i>
      <x v="2"/>
    </i>
    <i>
      <x v="3"/>
    </i>
    <i>
      <x v="13"/>
    </i>
    <i>
      <x v="14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42"/>
    </i>
    <i>
      <x v="43"/>
    </i>
    <i>
      <x v="52"/>
    </i>
    <i>
      <x v="53"/>
    </i>
    <i>
      <x v="54"/>
    </i>
    <i>
      <x v="63"/>
    </i>
    <i>
      <x v="72"/>
    </i>
    <i>
      <x v="99"/>
    </i>
    <i t="grand">
      <x/>
    </i>
  </rowItems>
  <colItems count="1">
    <i/>
  </colItems>
  <pageFields count="2">
    <pageField fld="2" hier="-1"/>
    <pageField fld="1" hier="-1"/>
  </pageFields>
  <dataFields count="1">
    <dataField name="Average of Health" fld="23" subtotal="average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C978E-AE9E-4F31-B2D9-9D89F57505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D38:J63" firstHeaderRow="0" firstDataRow="1" firstDataCol="1" rowPageCount="2" colPageCount="1"/>
  <pivotFields count="31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h="1"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axis="axisRow" showAll="0">
      <items count="124">
        <item x="94"/>
        <item x="95"/>
        <item x="96"/>
        <item x="97"/>
        <item x="98"/>
        <item x="99"/>
        <item x="100"/>
        <item x="101"/>
        <item x="102"/>
        <item x="72"/>
        <item x="73"/>
        <item x="70"/>
        <item x="58"/>
        <item x="46"/>
        <item x="34"/>
        <item x="22"/>
        <item x="10"/>
        <item x="122"/>
        <item x="103"/>
        <item x="104"/>
        <item x="105"/>
        <item x="106"/>
        <item x="107"/>
        <item x="74"/>
        <item x="75"/>
        <item x="64"/>
        <item x="52"/>
        <item x="40"/>
        <item x="28"/>
        <item x="16"/>
        <item x="4"/>
        <item x="120"/>
        <item x="108"/>
        <item x="76"/>
        <item x="77"/>
        <item x="78"/>
        <item x="79"/>
        <item x="80"/>
        <item x="81"/>
        <item x="82"/>
        <item x="83"/>
        <item x="84"/>
        <item x="85"/>
        <item x="62"/>
        <item x="50"/>
        <item x="38"/>
        <item x="26"/>
        <item x="14"/>
        <item x="2"/>
        <item x="109"/>
        <item x="110"/>
        <item x="111"/>
        <item x="86"/>
        <item x="87"/>
        <item x="65"/>
        <item x="53"/>
        <item x="41"/>
        <item x="29"/>
        <item x="17"/>
        <item x="5"/>
        <item x="112"/>
        <item x="88"/>
        <item x="89"/>
        <item x="90"/>
        <item x="68"/>
        <item x="56"/>
        <item x="44"/>
        <item x="32"/>
        <item x="20"/>
        <item x="8"/>
        <item x="113"/>
        <item x="114"/>
        <item x="115"/>
        <item x="91"/>
        <item x="69"/>
        <item x="57"/>
        <item x="45"/>
        <item x="33"/>
        <item x="21"/>
        <item x="9"/>
        <item x="116"/>
        <item x="92"/>
        <item x="66"/>
        <item x="54"/>
        <item x="42"/>
        <item x="30"/>
        <item x="18"/>
        <item x="6"/>
        <item x="118"/>
        <item x="60"/>
        <item x="48"/>
        <item x="36"/>
        <item x="24"/>
        <item x="12"/>
        <item x="0"/>
        <item x="119"/>
        <item x="61"/>
        <item x="49"/>
        <item x="37"/>
        <item x="25"/>
        <item x="13"/>
        <item x="1"/>
        <item x="117"/>
        <item x="93"/>
        <item x="71"/>
        <item x="59"/>
        <item x="47"/>
        <item x="35"/>
        <item x="23"/>
        <item x="11"/>
        <item x="67"/>
        <item x="55"/>
        <item x="43"/>
        <item x="31"/>
        <item x="19"/>
        <item x="7"/>
        <item x="121"/>
        <item x="63"/>
        <item x="51"/>
        <item x="39"/>
        <item x="27"/>
        <item x="15"/>
        <item x="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8"/>
    </i>
    <i>
      <x v="19"/>
    </i>
    <i>
      <x v="20"/>
    </i>
    <i>
      <x v="21"/>
    </i>
    <i>
      <x v="22"/>
    </i>
    <i>
      <x v="32"/>
    </i>
    <i>
      <x v="49"/>
    </i>
    <i>
      <x v="50"/>
    </i>
    <i>
      <x v="51"/>
    </i>
    <i>
      <x v="60"/>
    </i>
    <i>
      <x v="70"/>
    </i>
    <i>
      <x v="71"/>
    </i>
    <i>
      <x v="72"/>
    </i>
    <i>
      <x v="80"/>
    </i>
    <i>
      <x v="10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" hier="-1"/>
    <pageField fld="1" hier="-1"/>
  </pageFields>
  <dataFields count="6">
    <dataField name="Average of Fuel and light" fld="21" subtotal="average" baseField="0" baseItem="0"/>
    <dataField name="Average of Personal care and effects" fld="28" subtotal="average" baseField="25" baseItem="7"/>
    <dataField name="Average of Transport and communication" fld="24" subtotal="average" baseField="0" baseItem="0"/>
    <dataField name="Average of Health" fld="23" subtotal="average" baseField="25" baseItem="3"/>
    <dataField name="Average of Food and beverages" fld="15" subtotal="average" baseField="0" baseItem="0"/>
    <dataField name="Average of Education" fld="27" subtotal="average" baseField="25" baseItem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BAA7-8E0E-4DF1-895D-F3666D780E5F}">
  <dimension ref="B2:U271"/>
  <sheetViews>
    <sheetView showGridLines="0" tabSelected="1" zoomScale="71" zoomScaleNormal="22" workbookViewId="0">
      <selection activeCell="B138" sqref="B138"/>
    </sheetView>
  </sheetViews>
  <sheetFormatPr defaultColWidth="13.33203125" defaultRowHeight="14.4" x14ac:dyDescent="0.3"/>
  <cols>
    <col min="3" max="3" width="18" customWidth="1"/>
    <col min="6" max="6" width="18" customWidth="1"/>
    <col min="7" max="7" width="13" customWidth="1"/>
    <col min="8" max="8" width="11.44140625" customWidth="1"/>
    <col min="9" max="9" width="15.77734375" customWidth="1"/>
    <col min="12" max="12" width="26" customWidth="1"/>
    <col min="14" max="14" width="22.33203125" customWidth="1"/>
    <col min="15" max="15" width="26.44140625" customWidth="1"/>
    <col min="16" max="16" width="7.44140625" customWidth="1"/>
    <col min="17" max="17" width="18.21875" customWidth="1"/>
    <col min="18" max="18" width="9.21875" customWidth="1"/>
    <col min="19" max="19" width="16.44140625" customWidth="1"/>
  </cols>
  <sheetData>
    <row r="2" spans="2:2" ht="21" x14ac:dyDescent="0.4">
      <c r="B2" s="5" t="s">
        <v>292</v>
      </c>
    </row>
    <row r="19" spans="2:20" x14ac:dyDescent="0.3">
      <c r="O19" s="6" t="s">
        <v>72</v>
      </c>
      <c r="P19" s="6" t="s">
        <v>71</v>
      </c>
    </row>
    <row r="20" spans="2:20" x14ac:dyDescent="0.3">
      <c r="O20" s="19" t="s">
        <v>3</v>
      </c>
      <c r="P20" s="55" t="s">
        <v>68</v>
      </c>
    </row>
    <row r="21" spans="2:20" x14ac:dyDescent="0.3">
      <c r="M21" s="3"/>
      <c r="N21" s="11"/>
      <c r="O21" s="19" t="s">
        <v>4</v>
      </c>
      <c r="P21" s="55"/>
      <c r="Q21" s="11"/>
      <c r="R21" s="11"/>
      <c r="S21" s="11"/>
      <c r="T21" s="11"/>
    </row>
    <row r="22" spans="2:20" x14ac:dyDescent="0.3">
      <c r="M22" s="3"/>
      <c r="N22" s="11"/>
      <c r="O22" s="19" t="s">
        <v>5</v>
      </c>
      <c r="P22" s="55"/>
      <c r="Q22" s="11"/>
      <c r="R22" s="11"/>
      <c r="S22" s="11"/>
      <c r="T22" s="11"/>
    </row>
    <row r="23" spans="2:20" x14ac:dyDescent="0.3">
      <c r="M23" s="3"/>
      <c r="N23" s="11"/>
      <c r="O23" s="19" t="s">
        <v>6</v>
      </c>
      <c r="P23" s="55"/>
      <c r="Q23" s="11"/>
      <c r="R23" s="11"/>
      <c r="S23" s="11"/>
      <c r="T23" s="11"/>
    </row>
    <row r="24" spans="2:20" ht="15.6" x14ac:dyDescent="0.3">
      <c r="B24" s="7" t="s">
        <v>93</v>
      </c>
      <c r="C24" s="18"/>
      <c r="D24" s="18"/>
      <c r="E24" s="18"/>
      <c r="F24" s="18"/>
      <c r="I24" s="7" t="s">
        <v>93</v>
      </c>
      <c r="J24" s="18"/>
      <c r="K24" s="18"/>
      <c r="L24" s="18"/>
      <c r="M24" s="18"/>
      <c r="O24" s="19" t="s">
        <v>7</v>
      </c>
      <c r="P24" s="55"/>
    </row>
    <row r="25" spans="2:20" ht="14.4" customHeight="1" x14ac:dyDescent="0.3">
      <c r="B25" s="54" t="s">
        <v>99</v>
      </c>
      <c r="C25" s="54"/>
      <c r="D25" s="54"/>
      <c r="E25" s="54"/>
      <c r="F25" s="54"/>
      <c r="I25" s="54" t="s">
        <v>98</v>
      </c>
      <c r="J25" s="54"/>
      <c r="K25" s="54"/>
      <c r="L25" s="54"/>
      <c r="M25" s="54"/>
      <c r="O25" s="19" t="s">
        <v>8</v>
      </c>
      <c r="P25" s="55"/>
    </row>
    <row r="26" spans="2:20" ht="14.4" customHeight="1" x14ac:dyDescent="0.3">
      <c r="B26" s="54"/>
      <c r="C26" s="54"/>
      <c r="D26" s="54"/>
      <c r="E26" s="54"/>
      <c r="F26" s="54"/>
      <c r="I26" s="54"/>
      <c r="J26" s="54"/>
      <c r="K26" s="54"/>
      <c r="L26" s="54"/>
      <c r="M26" s="54"/>
      <c r="O26" s="19" t="s">
        <v>9</v>
      </c>
      <c r="P26" s="55"/>
    </row>
    <row r="27" spans="2:20" x14ac:dyDescent="0.3">
      <c r="O27" s="19" t="s">
        <v>10</v>
      </c>
      <c r="P27" s="55"/>
    </row>
    <row r="28" spans="2:20" ht="14.4" customHeight="1" x14ac:dyDescent="0.3">
      <c r="B28" s="17"/>
      <c r="O28" s="19" t="s">
        <v>11</v>
      </c>
      <c r="P28" s="55"/>
    </row>
    <row r="29" spans="2:20" x14ac:dyDescent="0.3">
      <c r="B29" s="17"/>
      <c r="O29" s="19" t="s">
        <v>12</v>
      </c>
      <c r="P29" s="55"/>
    </row>
    <row r="30" spans="2:20" x14ac:dyDescent="0.3">
      <c r="O30" s="19" t="s">
        <v>13</v>
      </c>
      <c r="P30" s="55"/>
    </row>
    <row r="31" spans="2:20" x14ac:dyDescent="0.3">
      <c r="O31" s="19" t="s">
        <v>14</v>
      </c>
      <c r="P31" s="55"/>
    </row>
    <row r="32" spans="2:20" x14ac:dyDescent="0.3">
      <c r="O32" s="19" t="s">
        <v>15</v>
      </c>
      <c r="P32" s="55"/>
    </row>
    <row r="33" spans="9:16" ht="15.6" customHeight="1" x14ac:dyDescent="0.3">
      <c r="O33" s="20" t="s">
        <v>17</v>
      </c>
      <c r="P33" s="56" t="s">
        <v>69</v>
      </c>
    </row>
    <row r="34" spans="9:16" ht="15.6" x14ac:dyDescent="0.3">
      <c r="I34" s="7" t="s">
        <v>93</v>
      </c>
      <c r="J34" s="18"/>
      <c r="K34" s="18"/>
      <c r="L34" s="18"/>
      <c r="M34" s="18"/>
      <c r="O34" s="20" t="s">
        <v>18</v>
      </c>
      <c r="P34" s="56"/>
    </row>
    <row r="35" spans="9:16" x14ac:dyDescent="0.3">
      <c r="I35" s="54" t="s">
        <v>100</v>
      </c>
      <c r="J35" s="54"/>
      <c r="K35" s="54"/>
      <c r="L35" s="54"/>
      <c r="M35" s="54"/>
      <c r="O35" s="20" t="s">
        <v>19</v>
      </c>
      <c r="P35" s="56"/>
    </row>
    <row r="36" spans="9:16" x14ac:dyDescent="0.3">
      <c r="I36" s="54"/>
      <c r="J36" s="54"/>
      <c r="K36" s="54"/>
      <c r="L36" s="54"/>
      <c r="M36" s="54"/>
      <c r="O36" s="21" t="s">
        <v>20</v>
      </c>
      <c r="P36" s="57" t="s">
        <v>67</v>
      </c>
    </row>
    <row r="37" spans="9:16" x14ac:dyDescent="0.3">
      <c r="O37" s="21" t="s">
        <v>21</v>
      </c>
      <c r="P37" s="58"/>
    </row>
    <row r="38" spans="9:16" x14ac:dyDescent="0.3">
      <c r="O38" s="21" t="s">
        <v>22</v>
      </c>
      <c r="P38" s="58"/>
    </row>
    <row r="39" spans="9:16" x14ac:dyDescent="0.3">
      <c r="O39" s="59" t="s">
        <v>23</v>
      </c>
      <c r="P39" s="59"/>
    </row>
    <row r="40" spans="9:16" x14ac:dyDescent="0.3">
      <c r="I40" s="13" t="s">
        <v>72</v>
      </c>
      <c r="J40" s="14" t="s">
        <v>30</v>
      </c>
      <c r="K40" s="14" t="s">
        <v>33</v>
      </c>
      <c r="L40" s="14" t="s">
        <v>34</v>
      </c>
      <c r="O40" s="60" t="s">
        <v>26</v>
      </c>
      <c r="P40" s="60"/>
    </row>
    <row r="41" spans="9:16" x14ac:dyDescent="0.3">
      <c r="I41" s="15" t="s">
        <v>92</v>
      </c>
      <c r="J41" s="12">
        <v>0.13880366394328361</v>
      </c>
      <c r="K41" s="12">
        <v>0.14533123938069345</v>
      </c>
      <c r="L41" s="12">
        <v>0.14160956136168784</v>
      </c>
      <c r="O41" s="52" t="s">
        <v>24</v>
      </c>
      <c r="P41" s="52"/>
    </row>
    <row r="42" spans="9:16" ht="15.6" x14ac:dyDescent="0.3">
      <c r="I42" s="16" t="s">
        <v>69</v>
      </c>
      <c r="J42" s="12">
        <v>0.14964198790131186</v>
      </c>
      <c r="K42" s="12">
        <v>0.1425886316628045</v>
      </c>
      <c r="L42" s="12">
        <v>0.14715264662371066</v>
      </c>
      <c r="O42" s="22" t="s">
        <v>25</v>
      </c>
      <c r="P42" s="53" t="s">
        <v>70</v>
      </c>
    </row>
    <row r="43" spans="9:16" ht="15.6" x14ac:dyDescent="0.3">
      <c r="I43" s="16" t="s">
        <v>67</v>
      </c>
      <c r="J43" s="12">
        <v>0.14123956008442826</v>
      </c>
      <c r="K43" s="12">
        <v>0.14269651033249453</v>
      </c>
      <c r="L43" s="12">
        <v>0.1419389953695083</v>
      </c>
      <c r="O43" s="22" t="s">
        <v>27</v>
      </c>
      <c r="P43" s="53"/>
    </row>
    <row r="44" spans="9:16" x14ac:dyDescent="0.3">
      <c r="I44" s="15" t="s">
        <v>23</v>
      </c>
      <c r="J44" s="12">
        <v>0.14793524475100736</v>
      </c>
      <c r="K44" s="12">
        <v>0.14741620213143355</v>
      </c>
      <c r="L44" s="12">
        <v>0.14819005682225089</v>
      </c>
      <c r="O44" s="22" t="s">
        <v>16</v>
      </c>
      <c r="P44" s="53"/>
    </row>
    <row r="45" spans="9:16" x14ac:dyDescent="0.3">
      <c r="I45" s="15" t="s">
        <v>26</v>
      </c>
      <c r="J45" s="12">
        <v>0.14202728769226108</v>
      </c>
      <c r="K45" s="12">
        <v>0.14142893596363659</v>
      </c>
      <c r="L45" s="12">
        <v>0.14132718935498456</v>
      </c>
    </row>
    <row r="46" spans="9:16" x14ac:dyDescent="0.3">
      <c r="I46" s="15" t="s">
        <v>90</v>
      </c>
      <c r="J46" s="12">
        <v>0.14667488057847483</v>
      </c>
      <c r="K46" s="12">
        <v>0.15076044089182467</v>
      </c>
      <c r="L46" s="12">
        <v>0.14826985760675399</v>
      </c>
    </row>
    <row r="47" spans="9:16" x14ac:dyDescent="0.3">
      <c r="I47" s="15" t="s">
        <v>91</v>
      </c>
      <c r="J47" s="12">
        <v>0.13367737504923294</v>
      </c>
      <c r="K47" s="12">
        <v>0.12977803963711276</v>
      </c>
      <c r="L47" s="12">
        <v>0.13151169286110367</v>
      </c>
    </row>
    <row r="55" spans="2:13" ht="21" x14ac:dyDescent="0.4">
      <c r="B55" s="28" t="s">
        <v>146</v>
      </c>
    </row>
    <row r="58" spans="2:13" ht="19.2" customHeight="1" x14ac:dyDescent="0.3"/>
    <row r="60" spans="2:13" ht="18.600000000000001" customHeight="1" x14ac:dyDescent="0.3">
      <c r="G60" s="51" t="s">
        <v>107</v>
      </c>
      <c r="H60" s="51"/>
      <c r="I60" s="29"/>
      <c r="J60" s="29"/>
      <c r="K60" s="29"/>
      <c r="L60" s="30"/>
      <c r="M60" s="30"/>
    </row>
    <row r="61" spans="2:13" ht="17.399999999999999" customHeight="1" x14ac:dyDescent="0.3">
      <c r="G61" s="29"/>
      <c r="H61" s="48" t="s">
        <v>104</v>
      </c>
      <c r="I61" s="29"/>
      <c r="J61" s="29"/>
      <c r="K61" s="29"/>
      <c r="L61" s="30"/>
      <c r="M61" s="30"/>
    </row>
    <row r="62" spans="2:13" ht="19.8" customHeight="1" x14ac:dyDescent="0.3">
      <c r="G62" s="31"/>
      <c r="H62" s="32" t="s">
        <v>105</v>
      </c>
      <c r="I62" s="29"/>
      <c r="J62" s="29"/>
      <c r="K62" s="29"/>
      <c r="L62" s="30"/>
      <c r="M62" s="30"/>
    </row>
    <row r="63" spans="2:13" x14ac:dyDescent="0.3">
      <c r="G63" s="33"/>
      <c r="H63" s="32" t="s">
        <v>106</v>
      </c>
      <c r="I63" s="29"/>
      <c r="J63" s="29"/>
      <c r="K63" s="29"/>
      <c r="L63" s="30"/>
      <c r="M63" s="30"/>
    </row>
    <row r="64" spans="2:13" x14ac:dyDescent="0.3">
      <c r="G64" s="34"/>
      <c r="H64" s="30"/>
      <c r="I64" s="30"/>
      <c r="J64" s="30"/>
      <c r="K64" s="30"/>
      <c r="L64" s="30"/>
      <c r="M64" s="30"/>
    </row>
    <row r="80" spans="2:2" ht="21" x14ac:dyDescent="0.4">
      <c r="B80" s="28" t="s">
        <v>147</v>
      </c>
    </row>
    <row r="104" spans="2:6" x14ac:dyDescent="0.3">
      <c r="B104" s="8" t="s">
        <v>93</v>
      </c>
      <c r="C104" s="8"/>
      <c r="D104" s="8"/>
      <c r="E104" s="8"/>
      <c r="F104" s="8"/>
    </row>
    <row r="105" spans="2:6" x14ac:dyDescent="0.3">
      <c r="B105" s="39" t="s">
        <v>142</v>
      </c>
      <c r="C105" s="8"/>
      <c r="D105" s="8"/>
      <c r="E105" s="8"/>
      <c r="F105" s="8"/>
    </row>
    <row r="106" spans="2:6" x14ac:dyDescent="0.3">
      <c r="B106" s="39" t="s">
        <v>143</v>
      </c>
      <c r="C106" s="8"/>
      <c r="D106" s="8"/>
      <c r="E106" s="8"/>
      <c r="F106" s="8"/>
    </row>
    <row r="107" spans="2:6" x14ac:dyDescent="0.3">
      <c r="B107" s="8"/>
      <c r="C107" s="8"/>
      <c r="D107" s="8"/>
      <c r="E107" s="8"/>
      <c r="F107" s="8"/>
    </row>
    <row r="129" spans="2:16" x14ac:dyDescent="0.3">
      <c r="B129" s="8" t="s">
        <v>144</v>
      </c>
      <c r="C129" s="8"/>
      <c r="D129" s="8"/>
      <c r="E129" s="8"/>
      <c r="F129" s="8"/>
      <c r="G129" s="8"/>
      <c r="H129" s="8"/>
      <c r="I129" s="8"/>
    </row>
    <row r="130" spans="2:16" x14ac:dyDescent="0.3">
      <c r="B130" s="39" t="s">
        <v>145</v>
      </c>
      <c r="C130" s="8"/>
      <c r="D130" s="8"/>
      <c r="E130" s="8"/>
      <c r="F130" s="8"/>
      <c r="G130" s="8"/>
      <c r="H130" s="8"/>
      <c r="I130" s="8"/>
    </row>
    <row r="131" spans="2:16" x14ac:dyDescent="0.3">
      <c r="B131" s="8"/>
      <c r="C131" s="8"/>
      <c r="D131" s="8"/>
      <c r="E131" s="8"/>
      <c r="F131" s="8"/>
      <c r="G131" s="8"/>
      <c r="H131" s="8"/>
      <c r="I131" s="8"/>
    </row>
    <row r="132" spans="2:16" x14ac:dyDescent="0.3">
      <c r="B132" s="8"/>
      <c r="C132" s="8"/>
      <c r="D132" s="8"/>
      <c r="E132" s="8"/>
      <c r="F132" s="8"/>
      <c r="G132" s="8"/>
      <c r="H132" s="8"/>
      <c r="I132" s="8"/>
    </row>
    <row r="137" spans="2:16" ht="21" x14ac:dyDescent="0.4">
      <c r="B137" s="5" t="s">
        <v>293</v>
      </c>
    </row>
    <row r="142" spans="2:16" x14ac:dyDescent="0.3">
      <c r="J142" s="8" t="s">
        <v>144</v>
      </c>
      <c r="K142" s="22"/>
      <c r="L142" s="22"/>
      <c r="M142" s="22"/>
      <c r="N142" s="22"/>
      <c r="O142" s="22"/>
      <c r="P142" s="22"/>
    </row>
    <row r="143" spans="2:16" x14ac:dyDescent="0.3">
      <c r="J143" s="39" t="s">
        <v>183</v>
      </c>
      <c r="K143" s="22"/>
      <c r="L143" s="22"/>
      <c r="M143" s="22"/>
      <c r="N143" s="22"/>
      <c r="O143" s="22"/>
      <c r="P143" s="22"/>
    </row>
    <row r="144" spans="2:16" x14ac:dyDescent="0.3">
      <c r="J144" s="39" t="s">
        <v>184</v>
      </c>
      <c r="K144" s="22"/>
      <c r="L144" s="22"/>
      <c r="M144" s="22"/>
      <c r="N144" s="22"/>
      <c r="O144" s="22"/>
      <c r="P144" s="22"/>
    </row>
    <row r="145" spans="10:17" x14ac:dyDescent="0.3">
      <c r="J145" s="39" t="s">
        <v>185</v>
      </c>
      <c r="K145" s="22"/>
      <c r="L145" s="22"/>
      <c r="M145" s="22"/>
      <c r="N145" s="22"/>
      <c r="O145" s="22"/>
      <c r="P145" s="22"/>
    </row>
    <row r="146" spans="10:17" x14ac:dyDescent="0.3">
      <c r="J146" s="22"/>
      <c r="K146" s="22"/>
      <c r="L146" s="22"/>
      <c r="M146" s="22"/>
      <c r="N146" s="22"/>
      <c r="O146" s="22"/>
      <c r="P146" s="22"/>
    </row>
    <row r="160" spans="10:17" x14ac:dyDescent="0.3">
      <c r="J160" s="8" t="s">
        <v>93</v>
      </c>
      <c r="K160" s="8"/>
      <c r="L160" s="8"/>
      <c r="M160" s="8"/>
      <c r="N160" s="8"/>
      <c r="O160" s="8"/>
      <c r="P160" s="8"/>
      <c r="Q160" s="8"/>
    </row>
    <row r="161" spans="10:17" x14ac:dyDescent="0.3">
      <c r="J161" s="39" t="s">
        <v>186</v>
      </c>
      <c r="K161" s="8"/>
      <c r="L161" s="8"/>
      <c r="M161" s="8"/>
      <c r="N161" s="8"/>
      <c r="O161" s="8"/>
      <c r="P161" s="8"/>
      <c r="Q161" s="8"/>
    </row>
    <row r="162" spans="10:17" x14ac:dyDescent="0.3">
      <c r="J162" s="39" t="s">
        <v>187</v>
      </c>
      <c r="K162" s="8"/>
      <c r="L162" s="8"/>
      <c r="M162" s="8"/>
      <c r="N162" s="8"/>
      <c r="O162" s="8"/>
      <c r="P162" s="8"/>
      <c r="Q162" s="8"/>
    </row>
    <row r="163" spans="10:17" x14ac:dyDescent="0.3">
      <c r="J163" s="39" t="s">
        <v>188</v>
      </c>
      <c r="K163" s="8"/>
      <c r="L163" s="8"/>
      <c r="M163" s="8"/>
      <c r="N163" s="8"/>
      <c r="O163" s="8"/>
      <c r="P163" s="8"/>
      <c r="Q163" s="8"/>
    </row>
    <row r="164" spans="10:17" x14ac:dyDescent="0.3">
      <c r="J164" s="8"/>
      <c r="K164" s="8"/>
      <c r="L164" s="8"/>
      <c r="M164" s="8"/>
      <c r="N164" s="8"/>
      <c r="O164" s="8"/>
      <c r="P164" s="8"/>
      <c r="Q164" s="8"/>
    </row>
    <row r="177" spans="10:15" x14ac:dyDescent="0.3">
      <c r="J177" s="8" t="s">
        <v>192</v>
      </c>
      <c r="K177" s="8"/>
      <c r="L177" s="8"/>
      <c r="M177" s="8"/>
      <c r="N177" s="8"/>
      <c r="O177" s="8"/>
    </row>
    <row r="178" spans="10:15" x14ac:dyDescent="0.3">
      <c r="J178" s="39" t="s">
        <v>189</v>
      </c>
      <c r="K178" s="8"/>
      <c r="L178" s="8"/>
      <c r="M178" s="8"/>
      <c r="N178" s="8"/>
      <c r="O178" s="8"/>
    </row>
    <row r="179" spans="10:15" x14ac:dyDescent="0.3">
      <c r="J179" s="39" t="s">
        <v>190</v>
      </c>
      <c r="K179" s="8"/>
      <c r="L179" s="8"/>
      <c r="M179" s="8"/>
      <c r="N179" s="8"/>
      <c r="O179" s="8"/>
    </row>
    <row r="180" spans="10:15" x14ac:dyDescent="0.3">
      <c r="J180" s="39" t="s">
        <v>191</v>
      </c>
      <c r="K180" s="8"/>
      <c r="L180" s="8"/>
      <c r="M180" s="8"/>
      <c r="N180" s="8"/>
      <c r="O180" s="8"/>
    </row>
    <row r="181" spans="10:15" x14ac:dyDescent="0.3">
      <c r="J181" s="8"/>
      <c r="K181" s="8"/>
      <c r="L181" s="8"/>
      <c r="M181" s="8"/>
      <c r="N181" s="8"/>
      <c r="O181" s="8"/>
    </row>
    <row r="198" spans="2:3" ht="21" x14ac:dyDescent="0.4">
      <c r="B198" s="45"/>
      <c r="C198" s="5" t="s">
        <v>284</v>
      </c>
    </row>
    <row r="260" spans="3:21" x14ac:dyDescent="0.3">
      <c r="C260" s="8" t="s">
        <v>285</v>
      </c>
      <c r="D260" s="8"/>
      <c r="E260" s="8"/>
      <c r="F260" s="8"/>
      <c r="G260" s="22"/>
      <c r="H260" s="8"/>
      <c r="I260" s="8"/>
      <c r="J260" s="8"/>
      <c r="N260" s="46" t="s">
        <v>286</v>
      </c>
    </row>
    <row r="261" spans="3:21" x14ac:dyDescent="0.3">
      <c r="C261" s="47" t="s">
        <v>287</v>
      </c>
      <c r="D261" s="8"/>
      <c r="E261" s="8"/>
      <c r="F261" s="8"/>
      <c r="G261" s="22"/>
      <c r="H261" s="8"/>
      <c r="I261" s="8"/>
      <c r="J261" s="8"/>
      <c r="O261" t="s">
        <v>21</v>
      </c>
      <c r="P261" t="s">
        <v>27</v>
      </c>
      <c r="Q261" t="s">
        <v>24</v>
      </c>
      <c r="R261" t="s">
        <v>23</v>
      </c>
      <c r="S261" t="s">
        <v>15</v>
      </c>
      <c r="T261" t="s">
        <v>26</v>
      </c>
      <c r="U261" t="s">
        <v>193</v>
      </c>
    </row>
    <row r="262" spans="3:21" x14ac:dyDescent="0.3">
      <c r="C262" s="47"/>
      <c r="D262" s="8"/>
      <c r="E262" s="8"/>
      <c r="F262" s="8"/>
      <c r="G262" s="22"/>
      <c r="H262" s="8"/>
      <c r="I262" s="8"/>
      <c r="J262" s="8"/>
      <c r="N262" t="s">
        <v>21</v>
      </c>
      <c r="O262" s="44">
        <v>1</v>
      </c>
      <c r="P262" s="44"/>
      <c r="Q262" s="44"/>
      <c r="R262" s="44"/>
      <c r="S262" s="44"/>
      <c r="T262" s="44"/>
    </row>
    <row r="263" spans="3:21" x14ac:dyDescent="0.3">
      <c r="C263" s="47" t="s">
        <v>288</v>
      </c>
      <c r="D263" s="8"/>
      <c r="E263" s="8"/>
      <c r="F263" s="8"/>
      <c r="G263" s="22"/>
      <c r="H263" s="8"/>
      <c r="I263" s="8"/>
      <c r="J263" s="8"/>
      <c r="N263" t="s">
        <v>27</v>
      </c>
      <c r="O263" s="44">
        <v>0.96137836009727273</v>
      </c>
      <c r="P263" s="44">
        <v>1</v>
      </c>
      <c r="Q263" s="44"/>
      <c r="R263" s="44"/>
      <c r="S263" s="44"/>
      <c r="T263" s="44"/>
    </row>
    <row r="264" spans="3:21" x14ac:dyDescent="0.3">
      <c r="C264" s="47"/>
      <c r="D264" s="8"/>
      <c r="E264" s="8"/>
      <c r="F264" s="8"/>
      <c r="G264" s="22"/>
      <c r="H264" s="8"/>
      <c r="I264" s="8"/>
      <c r="J264" s="8"/>
      <c r="N264" t="s">
        <v>24</v>
      </c>
      <c r="O264" s="44">
        <v>0.95845358655743551</v>
      </c>
      <c r="P264" s="44">
        <v>0.93666635177852797</v>
      </c>
      <c r="Q264" s="44">
        <v>1</v>
      </c>
      <c r="R264" s="44"/>
      <c r="S264" s="44"/>
      <c r="T264" s="44"/>
    </row>
    <row r="265" spans="3:21" x14ac:dyDescent="0.3">
      <c r="C265" s="47" t="s">
        <v>289</v>
      </c>
      <c r="D265" s="8"/>
      <c r="E265" s="8"/>
      <c r="F265" s="8"/>
      <c r="G265" s="22"/>
      <c r="H265" s="8"/>
      <c r="I265" s="8"/>
      <c r="J265" s="8"/>
      <c r="N265" t="s">
        <v>23</v>
      </c>
      <c r="O265" s="44">
        <v>0.97887913351041977</v>
      </c>
      <c r="P265" s="44">
        <v>0.97661788595769794</v>
      </c>
      <c r="Q265" s="44">
        <v>0.97262418623526314</v>
      </c>
      <c r="R265" s="44">
        <v>1</v>
      </c>
      <c r="S265" s="44"/>
      <c r="T265" s="44"/>
    </row>
    <row r="266" spans="3:21" x14ac:dyDescent="0.3">
      <c r="C266" s="47"/>
      <c r="D266" s="8"/>
      <c r="E266" s="8"/>
      <c r="F266" s="8"/>
      <c r="G266" s="22"/>
      <c r="H266" s="8"/>
      <c r="I266" s="8"/>
      <c r="J266" s="8"/>
      <c r="N266" t="s">
        <v>15</v>
      </c>
      <c r="O266" s="44">
        <v>0.95434393232898729</v>
      </c>
      <c r="P266" s="44">
        <v>0.95671374794488706</v>
      </c>
      <c r="Q266" s="44">
        <v>0.93080444551062125</v>
      </c>
      <c r="R266" s="44">
        <v>0.95326888776545471</v>
      </c>
      <c r="S266" s="44">
        <v>1</v>
      </c>
      <c r="T266" s="44"/>
    </row>
    <row r="267" spans="3:21" x14ac:dyDescent="0.3">
      <c r="C267" s="47" t="s">
        <v>290</v>
      </c>
      <c r="D267" s="8"/>
      <c r="E267" s="8"/>
      <c r="F267" s="8"/>
      <c r="G267" s="22"/>
      <c r="H267" s="8"/>
      <c r="I267" s="8"/>
      <c r="J267" s="8"/>
      <c r="N267" t="s">
        <v>26</v>
      </c>
      <c r="O267" s="44">
        <v>0.98122866217903382</v>
      </c>
      <c r="P267" s="44">
        <v>0.97094228623687495</v>
      </c>
      <c r="Q267" s="44">
        <v>0.91857665270257027</v>
      </c>
      <c r="R267" s="44">
        <v>0.97078575346489038</v>
      </c>
      <c r="S267" s="44">
        <v>0.96252639169887988</v>
      </c>
      <c r="T267" s="44">
        <v>1</v>
      </c>
    </row>
    <row r="268" spans="3:21" x14ac:dyDescent="0.3">
      <c r="C268" s="47"/>
      <c r="D268" s="8"/>
      <c r="E268" s="8"/>
      <c r="F268" s="8"/>
      <c r="G268" s="22"/>
      <c r="H268" s="8"/>
      <c r="I268" s="8"/>
      <c r="J268" s="8"/>
      <c r="N268" s="49" t="s">
        <v>193</v>
      </c>
      <c r="O268" s="50">
        <v>0.68415992581835816</v>
      </c>
      <c r="P268" s="50">
        <v>0.67831528838688737</v>
      </c>
      <c r="Q268" s="50">
        <v>0.79755511782862454</v>
      </c>
      <c r="R268" s="50">
        <v>0.69614934157275798</v>
      </c>
      <c r="S268" s="50">
        <v>0.64080019859129866</v>
      </c>
      <c r="T268" s="50">
        <v>0.58629982292470662</v>
      </c>
      <c r="U268">
        <v>1</v>
      </c>
    </row>
    <row r="269" spans="3:21" x14ac:dyDescent="0.3">
      <c r="C269" s="47" t="s">
        <v>291</v>
      </c>
      <c r="D269" s="8"/>
      <c r="E269" s="8"/>
      <c r="F269" s="8"/>
      <c r="G269" s="22"/>
      <c r="H269" s="8"/>
      <c r="I269" s="8"/>
      <c r="J269" s="8"/>
    </row>
    <row r="270" spans="3:21" x14ac:dyDescent="0.3">
      <c r="C270" s="47"/>
      <c r="D270" s="8"/>
      <c r="E270" s="8"/>
      <c r="F270" s="8"/>
      <c r="G270" s="22"/>
      <c r="H270" s="8"/>
      <c r="I270" s="8"/>
      <c r="J270" s="8"/>
    </row>
    <row r="271" spans="3:21" x14ac:dyDescent="0.3">
      <c r="C271" s="8"/>
      <c r="D271" s="8"/>
      <c r="E271" s="8"/>
      <c r="F271" s="8"/>
      <c r="G271" s="22"/>
      <c r="H271" s="8"/>
      <c r="I271" s="8"/>
      <c r="J271" s="8"/>
    </row>
  </sheetData>
  <mergeCells count="11">
    <mergeCell ref="G60:H60"/>
    <mergeCell ref="O41:P41"/>
    <mergeCell ref="P42:P44"/>
    <mergeCell ref="I35:M36"/>
    <mergeCell ref="B25:F26"/>
    <mergeCell ref="I25:M26"/>
    <mergeCell ref="P20:P32"/>
    <mergeCell ref="P33:P35"/>
    <mergeCell ref="P36:P38"/>
    <mergeCell ref="O39:P39"/>
    <mergeCell ref="O40:P40"/>
  </mergeCells>
  <conditionalFormatting sqref="J41:L4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A157-9347-40B6-BC66-83347D168CD6}">
  <dimension ref="B2:AE374"/>
  <sheetViews>
    <sheetView zoomScale="116" workbookViewId="0">
      <selection activeCell="D47" sqref="D47"/>
    </sheetView>
  </sheetViews>
  <sheetFormatPr defaultColWidth="13.21875" defaultRowHeight="14.4" x14ac:dyDescent="0.3"/>
  <sheetData>
    <row r="2" spans="2:3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2:31" x14ac:dyDescent="0.3">
      <c r="B3" t="s">
        <v>30</v>
      </c>
      <c r="C3">
        <v>2013</v>
      </c>
      <c r="D3" t="s">
        <v>31</v>
      </c>
      <c r="E3">
        <v>107.5</v>
      </c>
      <c r="F3">
        <v>106.3</v>
      </c>
      <c r="G3">
        <v>108.1</v>
      </c>
      <c r="H3">
        <v>104.9</v>
      </c>
      <c r="I3">
        <v>106.1</v>
      </c>
      <c r="J3">
        <v>103.9</v>
      </c>
      <c r="K3">
        <v>101.9</v>
      </c>
      <c r="L3">
        <v>106.1</v>
      </c>
      <c r="M3">
        <v>106.8</v>
      </c>
      <c r="N3">
        <v>103.1</v>
      </c>
      <c r="O3">
        <v>104.8</v>
      </c>
      <c r="P3">
        <v>106.7</v>
      </c>
      <c r="Q3">
        <v>105.5</v>
      </c>
      <c r="R3">
        <v>105.1</v>
      </c>
      <c r="S3">
        <v>106.5</v>
      </c>
      <c r="T3">
        <v>105.8</v>
      </c>
      <c r="U3">
        <v>106.4</v>
      </c>
      <c r="V3" t="s">
        <v>32</v>
      </c>
      <c r="W3">
        <v>105.5</v>
      </c>
      <c r="X3">
        <v>104.8</v>
      </c>
      <c r="Y3">
        <v>104</v>
      </c>
      <c r="Z3">
        <v>103.3</v>
      </c>
      <c r="AA3">
        <v>103.4</v>
      </c>
      <c r="AB3">
        <v>103.8</v>
      </c>
      <c r="AC3">
        <v>104.7</v>
      </c>
      <c r="AD3">
        <v>104</v>
      </c>
      <c r="AE3">
        <v>105.1</v>
      </c>
    </row>
    <row r="4" spans="2:31" x14ac:dyDescent="0.3">
      <c r="B4" t="s">
        <v>33</v>
      </c>
      <c r="C4">
        <v>2013</v>
      </c>
      <c r="D4" t="s">
        <v>31</v>
      </c>
      <c r="E4">
        <v>110.5</v>
      </c>
      <c r="F4">
        <v>109.1</v>
      </c>
      <c r="G4">
        <v>113</v>
      </c>
      <c r="H4">
        <v>103.6</v>
      </c>
      <c r="I4">
        <v>103.4</v>
      </c>
      <c r="J4">
        <v>102.3</v>
      </c>
      <c r="K4">
        <v>102.9</v>
      </c>
      <c r="L4">
        <v>105.8</v>
      </c>
      <c r="M4">
        <v>105.1</v>
      </c>
      <c r="N4">
        <v>101.8</v>
      </c>
      <c r="O4">
        <v>105.1</v>
      </c>
      <c r="P4">
        <v>107.9</v>
      </c>
      <c r="Q4">
        <v>105.9</v>
      </c>
      <c r="R4">
        <v>105.2</v>
      </c>
      <c r="S4">
        <v>105.9</v>
      </c>
      <c r="T4">
        <v>105</v>
      </c>
      <c r="U4">
        <v>105.8</v>
      </c>
      <c r="V4">
        <v>100.3</v>
      </c>
      <c r="W4">
        <v>105.4</v>
      </c>
      <c r="X4">
        <v>104.8</v>
      </c>
      <c r="Y4">
        <v>104.1</v>
      </c>
      <c r="Z4">
        <v>103.2</v>
      </c>
      <c r="AA4">
        <v>102.9</v>
      </c>
      <c r="AB4">
        <v>103.5</v>
      </c>
      <c r="AC4">
        <v>104.3</v>
      </c>
      <c r="AD4">
        <v>103.7</v>
      </c>
      <c r="AE4">
        <v>104</v>
      </c>
    </row>
    <row r="5" spans="2:31" x14ac:dyDescent="0.3">
      <c r="B5" t="s">
        <v>34</v>
      </c>
      <c r="C5">
        <v>2013</v>
      </c>
      <c r="D5" t="s">
        <v>31</v>
      </c>
      <c r="E5">
        <v>108.4</v>
      </c>
      <c r="F5">
        <v>107.3</v>
      </c>
      <c r="G5">
        <v>110</v>
      </c>
      <c r="H5">
        <v>104.4</v>
      </c>
      <c r="I5">
        <v>105.1</v>
      </c>
      <c r="J5">
        <v>103.2</v>
      </c>
      <c r="K5">
        <v>102.2</v>
      </c>
      <c r="L5">
        <v>106</v>
      </c>
      <c r="M5">
        <v>106.2</v>
      </c>
      <c r="N5">
        <v>102.7</v>
      </c>
      <c r="O5">
        <v>104.9</v>
      </c>
      <c r="P5">
        <v>107.3</v>
      </c>
      <c r="Q5">
        <v>105.6</v>
      </c>
      <c r="R5">
        <v>105.1</v>
      </c>
      <c r="S5">
        <v>106.3</v>
      </c>
      <c r="T5">
        <v>105.5</v>
      </c>
      <c r="U5">
        <v>106.2</v>
      </c>
      <c r="V5">
        <v>100.3</v>
      </c>
      <c r="W5">
        <v>105.5</v>
      </c>
      <c r="X5">
        <v>104.8</v>
      </c>
      <c r="Y5">
        <v>104</v>
      </c>
      <c r="Z5">
        <v>103.2</v>
      </c>
      <c r="AA5">
        <v>103.1</v>
      </c>
      <c r="AB5">
        <v>103.6</v>
      </c>
      <c r="AC5">
        <v>104.5</v>
      </c>
      <c r="AD5">
        <v>103.9</v>
      </c>
      <c r="AE5">
        <v>104.6</v>
      </c>
    </row>
    <row r="6" spans="2:31" x14ac:dyDescent="0.3">
      <c r="B6" t="s">
        <v>30</v>
      </c>
      <c r="C6">
        <v>2013</v>
      </c>
      <c r="D6" t="s">
        <v>35</v>
      </c>
      <c r="E6">
        <v>109.2</v>
      </c>
      <c r="F6">
        <v>108.7</v>
      </c>
      <c r="G6">
        <v>110.2</v>
      </c>
      <c r="H6">
        <v>105.4</v>
      </c>
      <c r="I6">
        <v>106.7</v>
      </c>
      <c r="J6">
        <v>104</v>
      </c>
      <c r="K6">
        <v>102.4</v>
      </c>
      <c r="L6">
        <v>105.9</v>
      </c>
      <c r="M6">
        <v>105.7</v>
      </c>
      <c r="N6">
        <v>103.1</v>
      </c>
      <c r="O6">
        <v>105.1</v>
      </c>
      <c r="P6">
        <v>107.7</v>
      </c>
      <c r="Q6">
        <v>106.3</v>
      </c>
      <c r="R6">
        <v>105.6</v>
      </c>
      <c r="S6">
        <v>107.1</v>
      </c>
      <c r="T6">
        <v>106.3</v>
      </c>
      <c r="U6">
        <v>107</v>
      </c>
      <c r="V6" t="s">
        <v>32</v>
      </c>
      <c r="W6">
        <v>106.2</v>
      </c>
      <c r="X6">
        <v>105.2</v>
      </c>
      <c r="Y6">
        <v>104.4</v>
      </c>
      <c r="Z6">
        <v>103.9</v>
      </c>
      <c r="AA6">
        <v>104</v>
      </c>
      <c r="AB6">
        <v>104.1</v>
      </c>
      <c r="AC6">
        <v>104.6</v>
      </c>
      <c r="AD6">
        <v>104.4</v>
      </c>
      <c r="AE6">
        <v>105.8</v>
      </c>
    </row>
    <row r="7" spans="2:31" x14ac:dyDescent="0.3">
      <c r="B7" t="s">
        <v>33</v>
      </c>
      <c r="C7">
        <v>2013</v>
      </c>
      <c r="D7" t="s">
        <v>35</v>
      </c>
      <c r="E7">
        <v>112.9</v>
      </c>
      <c r="F7">
        <v>112.9</v>
      </c>
      <c r="G7">
        <v>116.9</v>
      </c>
      <c r="H7">
        <v>104</v>
      </c>
      <c r="I7">
        <v>103.5</v>
      </c>
      <c r="J7">
        <v>103.1</v>
      </c>
      <c r="K7">
        <v>104.9</v>
      </c>
      <c r="L7">
        <v>104.1</v>
      </c>
      <c r="M7">
        <v>103.8</v>
      </c>
      <c r="N7">
        <v>102.3</v>
      </c>
      <c r="O7">
        <v>106</v>
      </c>
      <c r="P7">
        <v>109</v>
      </c>
      <c r="Q7">
        <v>107.2</v>
      </c>
      <c r="R7">
        <v>106</v>
      </c>
      <c r="S7">
        <v>106.6</v>
      </c>
      <c r="T7">
        <v>105.5</v>
      </c>
      <c r="U7">
        <v>106.4</v>
      </c>
      <c r="V7">
        <v>100.4</v>
      </c>
      <c r="W7">
        <v>105.7</v>
      </c>
      <c r="X7">
        <v>105.2</v>
      </c>
      <c r="Y7">
        <v>104.7</v>
      </c>
      <c r="Z7">
        <v>104.4</v>
      </c>
      <c r="AA7">
        <v>103.3</v>
      </c>
      <c r="AB7">
        <v>103.7</v>
      </c>
      <c r="AC7">
        <v>104.3</v>
      </c>
      <c r="AD7">
        <v>104.3</v>
      </c>
      <c r="AE7">
        <v>104.7</v>
      </c>
    </row>
    <row r="8" spans="2:31" x14ac:dyDescent="0.3">
      <c r="B8" t="s">
        <v>34</v>
      </c>
      <c r="C8">
        <v>2013</v>
      </c>
      <c r="D8" t="s">
        <v>35</v>
      </c>
      <c r="E8">
        <v>110.4</v>
      </c>
      <c r="F8">
        <v>110.2</v>
      </c>
      <c r="G8">
        <v>112.8</v>
      </c>
      <c r="H8">
        <v>104.9</v>
      </c>
      <c r="I8">
        <v>105.5</v>
      </c>
      <c r="J8">
        <v>103.6</v>
      </c>
      <c r="K8">
        <v>103.2</v>
      </c>
      <c r="L8">
        <v>105.3</v>
      </c>
      <c r="M8">
        <v>105.1</v>
      </c>
      <c r="N8">
        <v>102.8</v>
      </c>
      <c r="O8">
        <v>105.5</v>
      </c>
      <c r="P8">
        <v>108.3</v>
      </c>
      <c r="Q8">
        <v>106.6</v>
      </c>
      <c r="R8">
        <v>105.7</v>
      </c>
      <c r="S8">
        <v>106.9</v>
      </c>
      <c r="T8">
        <v>106</v>
      </c>
      <c r="U8">
        <v>106.8</v>
      </c>
      <c r="V8">
        <v>100.4</v>
      </c>
      <c r="W8">
        <v>106</v>
      </c>
      <c r="X8">
        <v>105.2</v>
      </c>
      <c r="Y8">
        <v>104.5</v>
      </c>
      <c r="Z8">
        <v>104.2</v>
      </c>
      <c r="AA8">
        <v>103.6</v>
      </c>
      <c r="AB8">
        <v>103.9</v>
      </c>
      <c r="AC8">
        <v>104.5</v>
      </c>
      <c r="AD8">
        <v>104.4</v>
      </c>
      <c r="AE8">
        <v>105.3</v>
      </c>
    </row>
    <row r="9" spans="2:31" x14ac:dyDescent="0.3">
      <c r="B9" t="s">
        <v>30</v>
      </c>
      <c r="C9">
        <v>2013</v>
      </c>
      <c r="D9" t="s">
        <v>36</v>
      </c>
      <c r="E9">
        <v>110.2</v>
      </c>
      <c r="F9">
        <v>108.8</v>
      </c>
      <c r="G9">
        <v>109.9</v>
      </c>
      <c r="H9">
        <v>105.6</v>
      </c>
      <c r="I9">
        <v>106.2</v>
      </c>
      <c r="J9">
        <v>105.7</v>
      </c>
      <c r="K9">
        <v>101.4</v>
      </c>
      <c r="L9">
        <v>105.7</v>
      </c>
      <c r="M9">
        <v>105</v>
      </c>
      <c r="N9">
        <v>103.3</v>
      </c>
      <c r="O9">
        <v>105.6</v>
      </c>
      <c r="P9">
        <v>108.2</v>
      </c>
      <c r="Q9">
        <v>106.6</v>
      </c>
      <c r="R9">
        <v>106.5</v>
      </c>
      <c r="S9">
        <v>107.6</v>
      </c>
      <c r="T9">
        <v>106.8</v>
      </c>
      <c r="U9">
        <v>107.5</v>
      </c>
      <c r="V9" t="s">
        <v>32</v>
      </c>
      <c r="W9">
        <v>106.1</v>
      </c>
      <c r="X9">
        <v>105.6</v>
      </c>
      <c r="Y9">
        <v>104.7</v>
      </c>
      <c r="Z9">
        <v>104.6</v>
      </c>
      <c r="AA9">
        <v>104</v>
      </c>
      <c r="AB9">
        <v>104.3</v>
      </c>
      <c r="AC9">
        <v>104.3</v>
      </c>
      <c r="AD9">
        <v>104.6</v>
      </c>
      <c r="AE9">
        <v>106</v>
      </c>
    </row>
    <row r="10" spans="2:31" x14ac:dyDescent="0.3">
      <c r="B10" t="s">
        <v>33</v>
      </c>
      <c r="C10">
        <v>2013</v>
      </c>
      <c r="D10" t="s">
        <v>36</v>
      </c>
      <c r="E10">
        <v>113.9</v>
      </c>
      <c r="F10">
        <v>111.4</v>
      </c>
      <c r="G10">
        <v>113.2</v>
      </c>
      <c r="H10">
        <v>104.3</v>
      </c>
      <c r="I10">
        <v>102.7</v>
      </c>
      <c r="J10">
        <v>104.9</v>
      </c>
      <c r="K10">
        <v>103.8</v>
      </c>
      <c r="L10">
        <v>103.5</v>
      </c>
      <c r="M10">
        <v>102.6</v>
      </c>
      <c r="N10">
        <v>102.4</v>
      </c>
      <c r="O10">
        <v>107</v>
      </c>
      <c r="P10">
        <v>109.8</v>
      </c>
      <c r="Q10">
        <v>107.3</v>
      </c>
      <c r="R10">
        <v>106.8</v>
      </c>
      <c r="S10">
        <v>107.2</v>
      </c>
      <c r="T10">
        <v>106</v>
      </c>
      <c r="U10">
        <v>107</v>
      </c>
      <c r="V10">
        <v>100.4</v>
      </c>
      <c r="W10">
        <v>106</v>
      </c>
      <c r="X10">
        <v>105.7</v>
      </c>
      <c r="Y10">
        <v>105.2</v>
      </c>
      <c r="Z10">
        <v>105.5</v>
      </c>
      <c r="AA10">
        <v>103.5</v>
      </c>
      <c r="AB10">
        <v>103.8</v>
      </c>
      <c r="AC10">
        <v>104.2</v>
      </c>
      <c r="AD10">
        <v>104.9</v>
      </c>
      <c r="AE10">
        <v>105</v>
      </c>
    </row>
    <row r="11" spans="2:31" x14ac:dyDescent="0.3">
      <c r="B11" t="s">
        <v>34</v>
      </c>
      <c r="C11">
        <v>2013</v>
      </c>
      <c r="D11" t="s">
        <v>36</v>
      </c>
      <c r="E11">
        <v>111.4</v>
      </c>
      <c r="F11">
        <v>109.7</v>
      </c>
      <c r="G11">
        <v>111.2</v>
      </c>
      <c r="H11">
        <v>105.1</v>
      </c>
      <c r="I11">
        <v>104.9</v>
      </c>
      <c r="J11">
        <v>105.3</v>
      </c>
      <c r="K11">
        <v>102.2</v>
      </c>
      <c r="L11">
        <v>105</v>
      </c>
      <c r="M11">
        <v>104.2</v>
      </c>
      <c r="N11">
        <v>103</v>
      </c>
      <c r="O11">
        <v>106.2</v>
      </c>
      <c r="P11">
        <v>108.9</v>
      </c>
      <c r="Q11">
        <v>106.9</v>
      </c>
      <c r="R11">
        <v>106.6</v>
      </c>
      <c r="S11">
        <v>107.4</v>
      </c>
      <c r="T11">
        <v>106.5</v>
      </c>
      <c r="U11">
        <v>107.3</v>
      </c>
      <c r="V11">
        <v>100.4</v>
      </c>
      <c r="W11">
        <v>106.1</v>
      </c>
      <c r="X11">
        <v>105.6</v>
      </c>
      <c r="Y11">
        <v>104.9</v>
      </c>
      <c r="Z11">
        <v>105.1</v>
      </c>
      <c r="AA11">
        <v>103.7</v>
      </c>
      <c r="AB11">
        <v>104</v>
      </c>
      <c r="AC11">
        <v>104.3</v>
      </c>
      <c r="AD11">
        <v>104.7</v>
      </c>
      <c r="AE11">
        <v>105.5</v>
      </c>
    </row>
    <row r="12" spans="2:31" x14ac:dyDescent="0.3">
      <c r="B12" t="s">
        <v>30</v>
      </c>
      <c r="C12">
        <v>2013</v>
      </c>
      <c r="D12" t="s">
        <v>37</v>
      </c>
      <c r="E12">
        <v>110.2</v>
      </c>
      <c r="F12">
        <v>109.5</v>
      </c>
      <c r="G12">
        <v>106.9</v>
      </c>
      <c r="H12">
        <v>106.3</v>
      </c>
      <c r="I12">
        <v>105.7</v>
      </c>
      <c r="J12">
        <v>108.3</v>
      </c>
      <c r="K12">
        <v>103.4</v>
      </c>
      <c r="L12">
        <v>105.7</v>
      </c>
      <c r="M12">
        <v>104.2</v>
      </c>
      <c r="N12">
        <v>103.2</v>
      </c>
      <c r="O12">
        <v>106.5</v>
      </c>
      <c r="P12">
        <v>108.8</v>
      </c>
      <c r="Q12">
        <v>107.1</v>
      </c>
      <c r="R12">
        <v>107.1</v>
      </c>
      <c r="S12">
        <v>108.1</v>
      </c>
      <c r="T12">
        <v>107.4</v>
      </c>
      <c r="U12">
        <v>108</v>
      </c>
      <c r="V12" t="s">
        <v>32</v>
      </c>
      <c r="W12">
        <v>106.5</v>
      </c>
      <c r="X12">
        <v>106.1</v>
      </c>
      <c r="Y12">
        <v>105.1</v>
      </c>
      <c r="Z12">
        <v>104.4</v>
      </c>
      <c r="AA12">
        <v>104.5</v>
      </c>
      <c r="AB12">
        <v>104.8</v>
      </c>
      <c r="AC12">
        <v>102.7</v>
      </c>
      <c r="AD12">
        <v>104.6</v>
      </c>
      <c r="AE12">
        <v>106.4</v>
      </c>
    </row>
    <row r="13" spans="2:31" x14ac:dyDescent="0.3">
      <c r="B13" t="s">
        <v>33</v>
      </c>
      <c r="C13">
        <v>2013</v>
      </c>
      <c r="D13" t="s">
        <v>37</v>
      </c>
      <c r="E13">
        <v>114.6</v>
      </c>
      <c r="F13">
        <v>113.4</v>
      </c>
      <c r="G13">
        <v>106</v>
      </c>
      <c r="H13">
        <v>104.7</v>
      </c>
      <c r="I13">
        <v>102.1</v>
      </c>
      <c r="J13">
        <v>109.5</v>
      </c>
      <c r="K13">
        <v>109.7</v>
      </c>
      <c r="L13">
        <v>104.6</v>
      </c>
      <c r="M13">
        <v>102</v>
      </c>
      <c r="N13">
        <v>103.5</v>
      </c>
      <c r="O13">
        <v>108.2</v>
      </c>
      <c r="P13">
        <v>110.6</v>
      </c>
      <c r="Q13">
        <v>108.8</v>
      </c>
      <c r="R13">
        <v>108.5</v>
      </c>
      <c r="S13">
        <v>107.9</v>
      </c>
      <c r="T13">
        <v>106.4</v>
      </c>
      <c r="U13">
        <v>107.7</v>
      </c>
      <c r="V13">
        <v>100.5</v>
      </c>
      <c r="W13">
        <v>106.4</v>
      </c>
      <c r="X13">
        <v>106.5</v>
      </c>
      <c r="Y13">
        <v>105.7</v>
      </c>
      <c r="Z13">
        <v>105</v>
      </c>
      <c r="AA13">
        <v>104</v>
      </c>
      <c r="AB13">
        <v>105.2</v>
      </c>
      <c r="AC13">
        <v>103.2</v>
      </c>
      <c r="AD13">
        <v>105.1</v>
      </c>
      <c r="AE13">
        <v>105.7</v>
      </c>
    </row>
    <row r="14" spans="2:31" x14ac:dyDescent="0.3">
      <c r="B14" t="s">
        <v>34</v>
      </c>
      <c r="C14">
        <v>2013</v>
      </c>
      <c r="D14" t="s">
        <v>37</v>
      </c>
      <c r="E14">
        <v>111.6</v>
      </c>
      <c r="F14">
        <v>110.9</v>
      </c>
      <c r="G14">
        <v>106.6</v>
      </c>
      <c r="H14">
        <v>105.7</v>
      </c>
      <c r="I14">
        <v>104.4</v>
      </c>
      <c r="J14">
        <v>108.9</v>
      </c>
      <c r="K14">
        <v>105.5</v>
      </c>
      <c r="L14">
        <v>105.3</v>
      </c>
      <c r="M14">
        <v>103.5</v>
      </c>
      <c r="N14">
        <v>103.3</v>
      </c>
      <c r="O14">
        <v>107.2</v>
      </c>
      <c r="P14">
        <v>109.6</v>
      </c>
      <c r="Q14">
        <v>107.7</v>
      </c>
      <c r="R14">
        <v>107.5</v>
      </c>
      <c r="S14">
        <v>108</v>
      </c>
      <c r="T14">
        <v>107</v>
      </c>
      <c r="U14">
        <v>107.9</v>
      </c>
      <c r="V14">
        <v>100.5</v>
      </c>
      <c r="W14">
        <v>106.5</v>
      </c>
      <c r="X14">
        <v>106.3</v>
      </c>
      <c r="Y14">
        <v>105.3</v>
      </c>
      <c r="Z14">
        <v>104.7</v>
      </c>
      <c r="AA14">
        <v>104.2</v>
      </c>
      <c r="AB14">
        <v>105</v>
      </c>
      <c r="AC14">
        <v>102.9</v>
      </c>
      <c r="AD14">
        <v>104.8</v>
      </c>
      <c r="AE14">
        <v>106.1</v>
      </c>
    </row>
    <row r="15" spans="2:31" x14ac:dyDescent="0.3">
      <c r="B15" t="s">
        <v>30</v>
      </c>
      <c r="C15">
        <v>2013</v>
      </c>
      <c r="D15" t="s">
        <v>38</v>
      </c>
      <c r="E15">
        <v>110.9</v>
      </c>
      <c r="F15">
        <v>109.8</v>
      </c>
      <c r="G15">
        <v>105.9</v>
      </c>
      <c r="H15">
        <v>107.5</v>
      </c>
      <c r="I15">
        <v>105.3</v>
      </c>
      <c r="J15">
        <v>108.1</v>
      </c>
      <c r="K15">
        <v>107.3</v>
      </c>
      <c r="L15">
        <v>106.1</v>
      </c>
      <c r="M15">
        <v>103.7</v>
      </c>
      <c r="N15">
        <v>104</v>
      </c>
      <c r="O15">
        <v>107.4</v>
      </c>
      <c r="P15">
        <v>109.9</v>
      </c>
      <c r="Q15">
        <v>108.1</v>
      </c>
      <c r="R15">
        <v>108.1</v>
      </c>
      <c r="S15">
        <v>108.8</v>
      </c>
      <c r="T15">
        <v>107.9</v>
      </c>
      <c r="U15">
        <v>108.6</v>
      </c>
      <c r="V15" t="s">
        <v>32</v>
      </c>
      <c r="W15">
        <v>107.5</v>
      </c>
      <c r="X15">
        <v>106.8</v>
      </c>
      <c r="Y15">
        <v>105.7</v>
      </c>
      <c r="Z15">
        <v>104.1</v>
      </c>
      <c r="AA15">
        <v>105</v>
      </c>
      <c r="AB15">
        <v>105.5</v>
      </c>
      <c r="AC15">
        <v>102.1</v>
      </c>
      <c r="AD15">
        <v>104.8</v>
      </c>
      <c r="AE15">
        <v>107.2</v>
      </c>
    </row>
    <row r="16" spans="2:31" x14ac:dyDescent="0.3">
      <c r="B16" t="s">
        <v>33</v>
      </c>
      <c r="C16">
        <v>2013</v>
      </c>
      <c r="D16" t="s">
        <v>38</v>
      </c>
      <c r="E16">
        <v>115.4</v>
      </c>
      <c r="F16">
        <v>114.2</v>
      </c>
      <c r="G16">
        <v>102.7</v>
      </c>
      <c r="H16">
        <v>105.5</v>
      </c>
      <c r="I16">
        <v>101.5</v>
      </c>
      <c r="J16">
        <v>110.6</v>
      </c>
      <c r="K16">
        <v>123.7</v>
      </c>
      <c r="L16">
        <v>105.2</v>
      </c>
      <c r="M16">
        <v>101.9</v>
      </c>
      <c r="N16">
        <v>105</v>
      </c>
      <c r="O16">
        <v>109.1</v>
      </c>
      <c r="P16">
        <v>111.3</v>
      </c>
      <c r="Q16">
        <v>111.1</v>
      </c>
      <c r="R16">
        <v>109.8</v>
      </c>
      <c r="S16">
        <v>108.5</v>
      </c>
      <c r="T16">
        <v>106.7</v>
      </c>
      <c r="U16">
        <v>108.3</v>
      </c>
      <c r="V16">
        <v>100.5</v>
      </c>
      <c r="W16">
        <v>107.2</v>
      </c>
      <c r="X16">
        <v>107.1</v>
      </c>
      <c r="Y16">
        <v>106.2</v>
      </c>
      <c r="Z16">
        <v>103.9</v>
      </c>
      <c r="AA16">
        <v>104.6</v>
      </c>
      <c r="AB16">
        <v>105.7</v>
      </c>
      <c r="AC16">
        <v>102.6</v>
      </c>
      <c r="AD16">
        <v>104.9</v>
      </c>
      <c r="AE16">
        <v>106.6</v>
      </c>
    </row>
    <row r="17" spans="2:31" x14ac:dyDescent="0.3">
      <c r="B17" t="s">
        <v>34</v>
      </c>
      <c r="C17">
        <v>2013</v>
      </c>
      <c r="D17" t="s">
        <v>38</v>
      </c>
      <c r="E17">
        <v>112.3</v>
      </c>
      <c r="F17">
        <v>111.3</v>
      </c>
      <c r="G17">
        <v>104.7</v>
      </c>
      <c r="H17">
        <v>106.8</v>
      </c>
      <c r="I17">
        <v>103.9</v>
      </c>
      <c r="J17">
        <v>109.3</v>
      </c>
      <c r="K17">
        <v>112.9</v>
      </c>
      <c r="L17">
        <v>105.8</v>
      </c>
      <c r="M17">
        <v>103.1</v>
      </c>
      <c r="N17">
        <v>104.3</v>
      </c>
      <c r="O17">
        <v>108.1</v>
      </c>
      <c r="P17">
        <v>110.5</v>
      </c>
      <c r="Q17">
        <v>109.2</v>
      </c>
      <c r="R17">
        <v>108.6</v>
      </c>
      <c r="S17">
        <v>108.7</v>
      </c>
      <c r="T17">
        <v>107.4</v>
      </c>
      <c r="U17">
        <v>108.5</v>
      </c>
      <c r="V17">
        <v>100.5</v>
      </c>
      <c r="W17">
        <v>107.4</v>
      </c>
      <c r="X17">
        <v>106.9</v>
      </c>
      <c r="Y17">
        <v>105.9</v>
      </c>
      <c r="Z17">
        <v>104</v>
      </c>
      <c r="AA17">
        <v>104.8</v>
      </c>
      <c r="AB17">
        <v>105.6</v>
      </c>
      <c r="AC17">
        <v>102.3</v>
      </c>
      <c r="AD17">
        <v>104.8</v>
      </c>
      <c r="AE17">
        <v>106.9</v>
      </c>
    </row>
    <row r="18" spans="2:31" x14ac:dyDescent="0.3">
      <c r="B18" t="s">
        <v>30</v>
      </c>
      <c r="C18">
        <v>2013</v>
      </c>
      <c r="D18" t="s">
        <v>39</v>
      </c>
      <c r="E18">
        <v>112.3</v>
      </c>
      <c r="F18">
        <v>112.1</v>
      </c>
      <c r="G18">
        <v>108.1</v>
      </c>
      <c r="H18">
        <v>108.3</v>
      </c>
      <c r="I18">
        <v>105.9</v>
      </c>
      <c r="J18">
        <v>109.2</v>
      </c>
      <c r="K18">
        <v>118</v>
      </c>
      <c r="L18">
        <v>106.8</v>
      </c>
      <c r="M18">
        <v>104.1</v>
      </c>
      <c r="N18">
        <v>105.4</v>
      </c>
      <c r="O18">
        <v>108.2</v>
      </c>
      <c r="P18">
        <v>111</v>
      </c>
      <c r="Q18">
        <v>110.6</v>
      </c>
      <c r="R18">
        <v>109</v>
      </c>
      <c r="S18">
        <v>109.7</v>
      </c>
      <c r="T18">
        <v>108.8</v>
      </c>
      <c r="U18">
        <v>109.5</v>
      </c>
      <c r="V18" t="s">
        <v>32</v>
      </c>
      <c r="W18">
        <v>108.5</v>
      </c>
      <c r="X18">
        <v>107.5</v>
      </c>
      <c r="Y18">
        <v>106.3</v>
      </c>
      <c r="Z18">
        <v>105</v>
      </c>
      <c r="AA18">
        <v>105.6</v>
      </c>
      <c r="AB18">
        <v>106.5</v>
      </c>
      <c r="AC18">
        <v>102.5</v>
      </c>
      <c r="AD18">
        <v>105.5</v>
      </c>
      <c r="AE18">
        <v>108.9</v>
      </c>
    </row>
    <row r="19" spans="2:31" x14ac:dyDescent="0.3">
      <c r="B19" t="s">
        <v>33</v>
      </c>
      <c r="C19">
        <v>2013</v>
      </c>
      <c r="D19" t="s">
        <v>39</v>
      </c>
      <c r="E19">
        <v>117</v>
      </c>
      <c r="F19">
        <v>120.1</v>
      </c>
      <c r="G19">
        <v>112.5</v>
      </c>
      <c r="H19">
        <v>107.3</v>
      </c>
      <c r="I19">
        <v>101.3</v>
      </c>
      <c r="J19">
        <v>112.4</v>
      </c>
      <c r="K19">
        <v>143.6</v>
      </c>
      <c r="L19">
        <v>105.4</v>
      </c>
      <c r="M19">
        <v>101.4</v>
      </c>
      <c r="N19">
        <v>106.4</v>
      </c>
      <c r="O19">
        <v>110</v>
      </c>
      <c r="P19">
        <v>112.2</v>
      </c>
      <c r="Q19">
        <v>115</v>
      </c>
      <c r="R19">
        <v>110.9</v>
      </c>
      <c r="S19">
        <v>109.2</v>
      </c>
      <c r="T19">
        <v>107.2</v>
      </c>
      <c r="U19">
        <v>108.9</v>
      </c>
      <c r="V19">
        <v>106.6</v>
      </c>
      <c r="W19">
        <v>108</v>
      </c>
      <c r="X19">
        <v>107.7</v>
      </c>
      <c r="Y19">
        <v>106.5</v>
      </c>
      <c r="Z19">
        <v>105.2</v>
      </c>
      <c r="AA19">
        <v>105.2</v>
      </c>
      <c r="AB19">
        <v>108.1</v>
      </c>
      <c r="AC19">
        <v>103.3</v>
      </c>
      <c r="AD19">
        <v>106.1</v>
      </c>
      <c r="AE19">
        <v>109.7</v>
      </c>
    </row>
    <row r="20" spans="2:31" x14ac:dyDescent="0.3">
      <c r="B20" t="s">
        <v>34</v>
      </c>
      <c r="C20">
        <v>2013</v>
      </c>
      <c r="D20" t="s">
        <v>39</v>
      </c>
      <c r="E20">
        <v>113.8</v>
      </c>
      <c r="F20">
        <v>114.9</v>
      </c>
      <c r="G20">
        <v>109.8</v>
      </c>
      <c r="H20">
        <v>107.9</v>
      </c>
      <c r="I20">
        <v>104.2</v>
      </c>
      <c r="J20">
        <v>110.7</v>
      </c>
      <c r="K20">
        <v>126.7</v>
      </c>
      <c r="L20">
        <v>106.3</v>
      </c>
      <c r="M20">
        <v>103.2</v>
      </c>
      <c r="N20">
        <v>105.7</v>
      </c>
      <c r="O20">
        <v>109</v>
      </c>
      <c r="P20">
        <v>111.6</v>
      </c>
      <c r="Q20">
        <v>112.2</v>
      </c>
      <c r="R20">
        <v>109.5</v>
      </c>
      <c r="S20">
        <v>109.5</v>
      </c>
      <c r="T20">
        <v>108.1</v>
      </c>
      <c r="U20">
        <v>109.3</v>
      </c>
      <c r="V20">
        <v>106.6</v>
      </c>
      <c r="W20">
        <v>108.3</v>
      </c>
      <c r="X20">
        <v>107.6</v>
      </c>
      <c r="Y20">
        <v>106.4</v>
      </c>
      <c r="Z20">
        <v>105.1</v>
      </c>
      <c r="AA20">
        <v>105.4</v>
      </c>
      <c r="AB20">
        <v>107.4</v>
      </c>
      <c r="AC20">
        <v>102.8</v>
      </c>
      <c r="AD20">
        <v>105.8</v>
      </c>
      <c r="AE20">
        <v>109.3</v>
      </c>
    </row>
    <row r="21" spans="2:31" x14ac:dyDescent="0.3">
      <c r="B21" t="s">
        <v>30</v>
      </c>
      <c r="C21">
        <v>2013</v>
      </c>
      <c r="D21" t="s">
        <v>40</v>
      </c>
      <c r="E21">
        <v>113.4</v>
      </c>
      <c r="F21">
        <v>114.9</v>
      </c>
      <c r="G21">
        <v>110.5</v>
      </c>
      <c r="H21">
        <v>109.3</v>
      </c>
      <c r="I21">
        <v>106.2</v>
      </c>
      <c r="J21">
        <v>110.3</v>
      </c>
      <c r="K21">
        <v>129.19999999999999</v>
      </c>
      <c r="L21">
        <v>107.1</v>
      </c>
      <c r="M21">
        <v>104.3</v>
      </c>
      <c r="N21">
        <v>106.4</v>
      </c>
      <c r="O21">
        <v>109.1</v>
      </c>
      <c r="P21">
        <v>112.1</v>
      </c>
      <c r="Q21">
        <v>113.1</v>
      </c>
      <c r="R21">
        <v>109.8</v>
      </c>
      <c r="S21">
        <v>110.5</v>
      </c>
      <c r="T21">
        <v>109.5</v>
      </c>
      <c r="U21">
        <v>110.3</v>
      </c>
      <c r="V21" t="s">
        <v>32</v>
      </c>
      <c r="W21">
        <v>109.5</v>
      </c>
      <c r="X21">
        <v>108.3</v>
      </c>
      <c r="Y21">
        <v>106.9</v>
      </c>
      <c r="Z21">
        <v>106.8</v>
      </c>
      <c r="AA21">
        <v>106.4</v>
      </c>
      <c r="AB21">
        <v>107.8</v>
      </c>
      <c r="AC21">
        <v>102.5</v>
      </c>
      <c r="AD21">
        <v>106.5</v>
      </c>
      <c r="AE21">
        <v>110.7</v>
      </c>
    </row>
    <row r="22" spans="2:31" x14ac:dyDescent="0.3">
      <c r="B22" t="s">
        <v>33</v>
      </c>
      <c r="C22">
        <v>2013</v>
      </c>
      <c r="D22" t="s">
        <v>40</v>
      </c>
      <c r="E22">
        <v>117.8</v>
      </c>
      <c r="F22">
        <v>119.2</v>
      </c>
      <c r="G22">
        <v>114</v>
      </c>
      <c r="H22">
        <v>108.3</v>
      </c>
      <c r="I22">
        <v>101.1</v>
      </c>
      <c r="J22">
        <v>113.2</v>
      </c>
      <c r="K22">
        <v>160.9</v>
      </c>
      <c r="L22">
        <v>105.1</v>
      </c>
      <c r="M22">
        <v>101.3</v>
      </c>
      <c r="N22">
        <v>107.5</v>
      </c>
      <c r="O22">
        <v>110.4</v>
      </c>
      <c r="P22">
        <v>113.1</v>
      </c>
      <c r="Q22">
        <v>117.5</v>
      </c>
      <c r="R22">
        <v>111.7</v>
      </c>
      <c r="S22">
        <v>109.8</v>
      </c>
      <c r="T22">
        <v>107.8</v>
      </c>
      <c r="U22">
        <v>109.5</v>
      </c>
      <c r="V22">
        <v>107.7</v>
      </c>
      <c r="W22">
        <v>108.6</v>
      </c>
      <c r="X22">
        <v>108.1</v>
      </c>
      <c r="Y22">
        <v>107.1</v>
      </c>
      <c r="Z22">
        <v>107.3</v>
      </c>
      <c r="AA22">
        <v>105.9</v>
      </c>
      <c r="AB22">
        <v>110.1</v>
      </c>
      <c r="AC22">
        <v>103.2</v>
      </c>
      <c r="AD22">
        <v>107.3</v>
      </c>
      <c r="AE22">
        <v>111.4</v>
      </c>
    </row>
    <row r="23" spans="2:31" x14ac:dyDescent="0.3">
      <c r="B23" t="s">
        <v>34</v>
      </c>
      <c r="C23">
        <v>2013</v>
      </c>
      <c r="D23" t="s">
        <v>40</v>
      </c>
      <c r="E23">
        <v>114.8</v>
      </c>
      <c r="F23">
        <v>116.4</v>
      </c>
      <c r="G23">
        <v>111.9</v>
      </c>
      <c r="H23">
        <v>108.9</v>
      </c>
      <c r="I23">
        <v>104.3</v>
      </c>
      <c r="J23">
        <v>111.7</v>
      </c>
      <c r="K23">
        <v>140</v>
      </c>
      <c r="L23">
        <v>106.4</v>
      </c>
      <c r="M23">
        <v>103.3</v>
      </c>
      <c r="N23">
        <v>106.8</v>
      </c>
      <c r="O23">
        <v>109.6</v>
      </c>
      <c r="P23">
        <v>112.6</v>
      </c>
      <c r="Q23">
        <v>114.7</v>
      </c>
      <c r="R23">
        <v>110.3</v>
      </c>
      <c r="S23">
        <v>110.2</v>
      </c>
      <c r="T23">
        <v>108.8</v>
      </c>
      <c r="U23">
        <v>110</v>
      </c>
      <c r="V23">
        <v>107.7</v>
      </c>
      <c r="W23">
        <v>109.2</v>
      </c>
      <c r="X23">
        <v>108.2</v>
      </c>
      <c r="Y23">
        <v>107</v>
      </c>
      <c r="Z23">
        <v>107.1</v>
      </c>
      <c r="AA23">
        <v>106.1</v>
      </c>
      <c r="AB23">
        <v>109.1</v>
      </c>
      <c r="AC23">
        <v>102.8</v>
      </c>
      <c r="AD23">
        <v>106.9</v>
      </c>
      <c r="AE23">
        <v>111</v>
      </c>
    </row>
    <row r="24" spans="2:31" x14ac:dyDescent="0.3">
      <c r="B24" t="s">
        <v>30</v>
      </c>
      <c r="C24">
        <v>2013</v>
      </c>
      <c r="D24" t="s">
        <v>41</v>
      </c>
      <c r="E24">
        <v>114.3</v>
      </c>
      <c r="F24">
        <v>115.4</v>
      </c>
      <c r="G24">
        <v>111.1</v>
      </c>
      <c r="H24">
        <v>110</v>
      </c>
      <c r="I24">
        <v>106.4</v>
      </c>
      <c r="J24">
        <v>110.8</v>
      </c>
      <c r="K24">
        <v>138.9</v>
      </c>
      <c r="L24">
        <v>107.4</v>
      </c>
      <c r="M24">
        <v>104.1</v>
      </c>
      <c r="N24">
        <v>106.9</v>
      </c>
      <c r="O24">
        <v>109.7</v>
      </c>
      <c r="P24">
        <v>112.6</v>
      </c>
      <c r="Q24">
        <v>114.9</v>
      </c>
      <c r="R24">
        <v>110.7</v>
      </c>
      <c r="S24">
        <v>111.3</v>
      </c>
      <c r="T24">
        <v>110.2</v>
      </c>
      <c r="U24">
        <v>111.1</v>
      </c>
      <c r="V24" t="s">
        <v>32</v>
      </c>
      <c r="W24">
        <v>109.9</v>
      </c>
      <c r="X24">
        <v>108.7</v>
      </c>
      <c r="Y24">
        <v>107.5</v>
      </c>
      <c r="Z24">
        <v>107.8</v>
      </c>
      <c r="AA24">
        <v>106.8</v>
      </c>
      <c r="AB24">
        <v>108.7</v>
      </c>
      <c r="AC24">
        <v>105</v>
      </c>
      <c r="AD24">
        <v>107.5</v>
      </c>
      <c r="AE24">
        <v>112.1</v>
      </c>
    </row>
    <row r="25" spans="2:31" x14ac:dyDescent="0.3">
      <c r="B25" t="s">
        <v>33</v>
      </c>
      <c r="C25">
        <v>2013</v>
      </c>
      <c r="D25" t="s">
        <v>41</v>
      </c>
      <c r="E25">
        <v>118.3</v>
      </c>
      <c r="F25">
        <v>120.4</v>
      </c>
      <c r="G25">
        <v>112.7</v>
      </c>
      <c r="H25">
        <v>108.9</v>
      </c>
      <c r="I25">
        <v>101.1</v>
      </c>
      <c r="J25">
        <v>108.7</v>
      </c>
      <c r="K25">
        <v>177</v>
      </c>
      <c r="L25">
        <v>104.7</v>
      </c>
      <c r="M25">
        <v>101</v>
      </c>
      <c r="N25">
        <v>108.5</v>
      </c>
      <c r="O25">
        <v>110.9</v>
      </c>
      <c r="P25">
        <v>114.3</v>
      </c>
      <c r="Q25">
        <v>119.6</v>
      </c>
      <c r="R25">
        <v>112.4</v>
      </c>
      <c r="S25">
        <v>110.6</v>
      </c>
      <c r="T25">
        <v>108.3</v>
      </c>
      <c r="U25">
        <v>110.2</v>
      </c>
      <c r="V25">
        <v>108.9</v>
      </c>
      <c r="W25">
        <v>109.3</v>
      </c>
      <c r="X25">
        <v>108.7</v>
      </c>
      <c r="Y25">
        <v>107.6</v>
      </c>
      <c r="Z25">
        <v>108.1</v>
      </c>
      <c r="AA25">
        <v>106.5</v>
      </c>
      <c r="AB25">
        <v>110.8</v>
      </c>
      <c r="AC25">
        <v>106</v>
      </c>
      <c r="AD25">
        <v>108.3</v>
      </c>
      <c r="AE25">
        <v>112.7</v>
      </c>
    </row>
    <row r="26" spans="2:31" x14ac:dyDescent="0.3">
      <c r="B26" t="s">
        <v>34</v>
      </c>
      <c r="C26">
        <v>2013</v>
      </c>
      <c r="D26" t="s">
        <v>41</v>
      </c>
      <c r="E26">
        <v>115.6</v>
      </c>
      <c r="F26">
        <v>117.2</v>
      </c>
      <c r="G26">
        <v>111.7</v>
      </c>
      <c r="H26">
        <v>109.6</v>
      </c>
      <c r="I26">
        <v>104.5</v>
      </c>
      <c r="J26">
        <v>109.8</v>
      </c>
      <c r="K26">
        <v>151.80000000000001</v>
      </c>
      <c r="L26">
        <v>106.5</v>
      </c>
      <c r="M26">
        <v>103.1</v>
      </c>
      <c r="N26">
        <v>107.4</v>
      </c>
      <c r="O26">
        <v>110.2</v>
      </c>
      <c r="P26">
        <v>113.4</v>
      </c>
      <c r="Q26">
        <v>116.6</v>
      </c>
      <c r="R26">
        <v>111.2</v>
      </c>
      <c r="S26">
        <v>111</v>
      </c>
      <c r="T26">
        <v>109.4</v>
      </c>
      <c r="U26">
        <v>110.7</v>
      </c>
      <c r="V26">
        <v>108.9</v>
      </c>
      <c r="W26">
        <v>109.7</v>
      </c>
      <c r="X26">
        <v>108.7</v>
      </c>
      <c r="Y26">
        <v>107.5</v>
      </c>
      <c r="Z26">
        <v>108</v>
      </c>
      <c r="AA26">
        <v>106.6</v>
      </c>
      <c r="AB26">
        <v>109.9</v>
      </c>
      <c r="AC26">
        <v>105.4</v>
      </c>
      <c r="AD26">
        <v>107.9</v>
      </c>
      <c r="AE26">
        <v>112.4</v>
      </c>
    </row>
    <row r="27" spans="2:31" x14ac:dyDescent="0.3">
      <c r="B27" t="s">
        <v>30</v>
      </c>
      <c r="C27">
        <v>2013</v>
      </c>
      <c r="D27" t="s">
        <v>42</v>
      </c>
      <c r="E27">
        <v>115.4</v>
      </c>
      <c r="F27">
        <v>115.7</v>
      </c>
      <c r="G27">
        <v>111.7</v>
      </c>
      <c r="H27">
        <v>111</v>
      </c>
      <c r="I27">
        <v>107.4</v>
      </c>
      <c r="J27">
        <v>110.9</v>
      </c>
      <c r="K27">
        <v>154</v>
      </c>
      <c r="L27">
        <v>108.1</v>
      </c>
      <c r="M27">
        <v>104.2</v>
      </c>
      <c r="N27">
        <v>107.9</v>
      </c>
      <c r="O27">
        <v>110.4</v>
      </c>
      <c r="P27">
        <v>114</v>
      </c>
      <c r="Q27">
        <v>117.8</v>
      </c>
      <c r="R27">
        <v>111.7</v>
      </c>
      <c r="S27">
        <v>112.7</v>
      </c>
      <c r="T27">
        <v>111.4</v>
      </c>
      <c r="U27">
        <v>112.5</v>
      </c>
      <c r="V27" t="s">
        <v>32</v>
      </c>
      <c r="W27">
        <v>111.1</v>
      </c>
      <c r="X27">
        <v>109.6</v>
      </c>
      <c r="Y27">
        <v>108.3</v>
      </c>
      <c r="Z27">
        <v>109.3</v>
      </c>
      <c r="AA27">
        <v>107.7</v>
      </c>
      <c r="AB27">
        <v>109.8</v>
      </c>
      <c r="AC27">
        <v>106.7</v>
      </c>
      <c r="AD27">
        <v>108.7</v>
      </c>
      <c r="AE27">
        <v>114.2</v>
      </c>
    </row>
    <row r="28" spans="2:31" x14ac:dyDescent="0.3">
      <c r="B28" t="s">
        <v>33</v>
      </c>
      <c r="C28">
        <v>2013</v>
      </c>
      <c r="D28" t="s">
        <v>42</v>
      </c>
      <c r="E28">
        <v>118.6</v>
      </c>
      <c r="F28">
        <v>119.1</v>
      </c>
      <c r="G28">
        <v>113.2</v>
      </c>
      <c r="H28">
        <v>109.6</v>
      </c>
      <c r="I28">
        <v>101.7</v>
      </c>
      <c r="J28">
        <v>103.2</v>
      </c>
      <c r="K28">
        <v>174.3</v>
      </c>
      <c r="L28">
        <v>105.1</v>
      </c>
      <c r="M28">
        <v>100.8</v>
      </c>
      <c r="N28">
        <v>109.1</v>
      </c>
      <c r="O28">
        <v>111.1</v>
      </c>
      <c r="P28">
        <v>115.4</v>
      </c>
      <c r="Q28">
        <v>119.2</v>
      </c>
      <c r="R28">
        <v>112.9</v>
      </c>
      <c r="S28">
        <v>111.4</v>
      </c>
      <c r="T28">
        <v>109</v>
      </c>
      <c r="U28">
        <v>111.1</v>
      </c>
      <c r="V28">
        <v>109.7</v>
      </c>
      <c r="W28">
        <v>109.5</v>
      </c>
      <c r="X28">
        <v>109.6</v>
      </c>
      <c r="Y28">
        <v>107.9</v>
      </c>
      <c r="Z28">
        <v>110.4</v>
      </c>
      <c r="AA28">
        <v>107.4</v>
      </c>
      <c r="AB28">
        <v>111.2</v>
      </c>
      <c r="AC28">
        <v>106.9</v>
      </c>
      <c r="AD28">
        <v>109.4</v>
      </c>
      <c r="AE28">
        <v>113.2</v>
      </c>
    </row>
    <row r="29" spans="2:31" x14ac:dyDescent="0.3">
      <c r="B29" t="s">
        <v>34</v>
      </c>
      <c r="C29">
        <v>2013</v>
      </c>
      <c r="D29" t="s">
        <v>42</v>
      </c>
      <c r="E29">
        <v>116.4</v>
      </c>
      <c r="F29">
        <v>116.9</v>
      </c>
      <c r="G29">
        <v>112.3</v>
      </c>
      <c r="H29">
        <v>110.5</v>
      </c>
      <c r="I29">
        <v>105.3</v>
      </c>
      <c r="J29">
        <v>107.3</v>
      </c>
      <c r="K29">
        <v>160.9</v>
      </c>
      <c r="L29">
        <v>107.1</v>
      </c>
      <c r="M29">
        <v>103.1</v>
      </c>
      <c r="N29">
        <v>108.3</v>
      </c>
      <c r="O29">
        <v>110.7</v>
      </c>
      <c r="P29">
        <v>114.6</v>
      </c>
      <c r="Q29">
        <v>118.3</v>
      </c>
      <c r="R29">
        <v>112</v>
      </c>
      <c r="S29">
        <v>112.2</v>
      </c>
      <c r="T29">
        <v>110.4</v>
      </c>
      <c r="U29">
        <v>111.9</v>
      </c>
      <c r="V29">
        <v>109.7</v>
      </c>
      <c r="W29">
        <v>110.5</v>
      </c>
      <c r="X29">
        <v>109.6</v>
      </c>
      <c r="Y29">
        <v>108.1</v>
      </c>
      <c r="Z29">
        <v>109.9</v>
      </c>
      <c r="AA29">
        <v>107.5</v>
      </c>
      <c r="AB29">
        <v>110.6</v>
      </c>
      <c r="AC29">
        <v>106.8</v>
      </c>
      <c r="AD29">
        <v>109</v>
      </c>
      <c r="AE29">
        <v>113.7</v>
      </c>
    </row>
    <row r="30" spans="2:31" x14ac:dyDescent="0.3">
      <c r="B30" t="s">
        <v>30</v>
      </c>
      <c r="C30">
        <v>2013</v>
      </c>
      <c r="D30" t="s">
        <v>43</v>
      </c>
      <c r="E30">
        <v>116.3</v>
      </c>
      <c r="F30">
        <v>115.4</v>
      </c>
      <c r="G30">
        <v>112.6</v>
      </c>
      <c r="H30">
        <v>111.7</v>
      </c>
      <c r="I30">
        <v>107.7</v>
      </c>
      <c r="J30">
        <v>113.2</v>
      </c>
      <c r="K30">
        <v>164.9</v>
      </c>
      <c r="L30">
        <v>108.3</v>
      </c>
      <c r="M30">
        <v>103.9</v>
      </c>
      <c r="N30">
        <v>108.2</v>
      </c>
      <c r="O30">
        <v>111.1</v>
      </c>
      <c r="P30">
        <v>114.9</v>
      </c>
      <c r="Q30">
        <v>119.8</v>
      </c>
      <c r="R30">
        <v>112.2</v>
      </c>
      <c r="S30">
        <v>113.6</v>
      </c>
      <c r="T30">
        <v>112.3</v>
      </c>
      <c r="U30">
        <v>113.4</v>
      </c>
      <c r="V30" t="s">
        <v>32</v>
      </c>
      <c r="W30">
        <v>111.6</v>
      </c>
      <c r="X30">
        <v>110.4</v>
      </c>
      <c r="Y30">
        <v>108.9</v>
      </c>
      <c r="Z30">
        <v>109.3</v>
      </c>
      <c r="AA30">
        <v>108.3</v>
      </c>
      <c r="AB30">
        <v>110.2</v>
      </c>
      <c r="AC30">
        <v>107.5</v>
      </c>
      <c r="AD30">
        <v>109.1</v>
      </c>
      <c r="AE30">
        <v>115.5</v>
      </c>
    </row>
    <row r="31" spans="2:31" x14ac:dyDescent="0.3">
      <c r="B31" t="s">
        <v>33</v>
      </c>
      <c r="C31">
        <v>2013</v>
      </c>
      <c r="D31" t="s">
        <v>43</v>
      </c>
      <c r="E31">
        <v>118.9</v>
      </c>
      <c r="F31">
        <v>118.1</v>
      </c>
      <c r="G31">
        <v>114.5</v>
      </c>
      <c r="H31">
        <v>110.4</v>
      </c>
      <c r="I31">
        <v>102.3</v>
      </c>
      <c r="J31">
        <v>106.2</v>
      </c>
      <c r="K31">
        <v>183.5</v>
      </c>
      <c r="L31">
        <v>105.3</v>
      </c>
      <c r="M31">
        <v>100.2</v>
      </c>
      <c r="N31">
        <v>109.6</v>
      </c>
      <c r="O31">
        <v>111.4</v>
      </c>
      <c r="P31">
        <v>116</v>
      </c>
      <c r="Q31">
        <v>120.8</v>
      </c>
      <c r="R31">
        <v>113.5</v>
      </c>
      <c r="S31">
        <v>112.5</v>
      </c>
      <c r="T31">
        <v>109.7</v>
      </c>
      <c r="U31">
        <v>112</v>
      </c>
      <c r="V31">
        <v>110.5</v>
      </c>
      <c r="W31">
        <v>109.7</v>
      </c>
      <c r="X31">
        <v>110.2</v>
      </c>
      <c r="Y31">
        <v>108.2</v>
      </c>
      <c r="Z31">
        <v>109.7</v>
      </c>
      <c r="AA31">
        <v>108</v>
      </c>
      <c r="AB31">
        <v>111.3</v>
      </c>
      <c r="AC31">
        <v>107.3</v>
      </c>
      <c r="AD31">
        <v>109.4</v>
      </c>
      <c r="AE31">
        <v>114</v>
      </c>
    </row>
    <row r="32" spans="2:31" x14ac:dyDescent="0.3">
      <c r="B32" t="s">
        <v>34</v>
      </c>
      <c r="C32">
        <v>2013</v>
      </c>
      <c r="D32" t="s">
        <v>43</v>
      </c>
      <c r="E32">
        <v>117.1</v>
      </c>
      <c r="F32">
        <v>116.3</v>
      </c>
      <c r="G32">
        <v>113.3</v>
      </c>
      <c r="H32">
        <v>111.2</v>
      </c>
      <c r="I32">
        <v>105.7</v>
      </c>
      <c r="J32">
        <v>109.9</v>
      </c>
      <c r="K32">
        <v>171.2</v>
      </c>
      <c r="L32">
        <v>107.3</v>
      </c>
      <c r="M32">
        <v>102.7</v>
      </c>
      <c r="N32">
        <v>108.7</v>
      </c>
      <c r="O32">
        <v>111.2</v>
      </c>
      <c r="P32">
        <v>115.4</v>
      </c>
      <c r="Q32">
        <v>120.2</v>
      </c>
      <c r="R32">
        <v>112.5</v>
      </c>
      <c r="S32">
        <v>113.2</v>
      </c>
      <c r="T32">
        <v>111.2</v>
      </c>
      <c r="U32">
        <v>112.8</v>
      </c>
      <c r="V32">
        <v>110.5</v>
      </c>
      <c r="W32">
        <v>110.9</v>
      </c>
      <c r="X32">
        <v>110.3</v>
      </c>
      <c r="Y32">
        <v>108.6</v>
      </c>
      <c r="Z32">
        <v>109.5</v>
      </c>
      <c r="AA32">
        <v>108.1</v>
      </c>
      <c r="AB32">
        <v>110.8</v>
      </c>
      <c r="AC32">
        <v>107.4</v>
      </c>
      <c r="AD32">
        <v>109.2</v>
      </c>
      <c r="AE32">
        <v>114.8</v>
      </c>
    </row>
    <row r="33" spans="2:31" x14ac:dyDescent="0.3">
      <c r="B33" t="s">
        <v>30</v>
      </c>
      <c r="C33">
        <v>2013</v>
      </c>
      <c r="D33" t="s">
        <v>44</v>
      </c>
      <c r="E33">
        <v>117.3</v>
      </c>
      <c r="F33">
        <v>114.9</v>
      </c>
      <c r="G33">
        <v>116.2</v>
      </c>
      <c r="H33">
        <v>112.8</v>
      </c>
      <c r="I33">
        <v>108.9</v>
      </c>
      <c r="J33">
        <v>116.6</v>
      </c>
      <c r="K33">
        <v>178.1</v>
      </c>
      <c r="L33">
        <v>109.1</v>
      </c>
      <c r="M33">
        <v>103.6</v>
      </c>
      <c r="N33">
        <v>109</v>
      </c>
      <c r="O33">
        <v>111.8</v>
      </c>
      <c r="P33">
        <v>116</v>
      </c>
      <c r="Q33">
        <v>122.5</v>
      </c>
      <c r="R33">
        <v>112.8</v>
      </c>
      <c r="S33">
        <v>114.6</v>
      </c>
      <c r="T33">
        <v>113.1</v>
      </c>
      <c r="U33">
        <v>114.4</v>
      </c>
      <c r="V33" t="s">
        <v>32</v>
      </c>
      <c r="W33">
        <v>112.6</v>
      </c>
      <c r="X33">
        <v>111.3</v>
      </c>
      <c r="Y33">
        <v>109.7</v>
      </c>
      <c r="Z33">
        <v>109.6</v>
      </c>
      <c r="AA33">
        <v>108.7</v>
      </c>
      <c r="AB33">
        <v>111</v>
      </c>
      <c r="AC33">
        <v>108.2</v>
      </c>
      <c r="AD33">
        <v>109.8</v>
      </c>
      <c r="AE33">
        <v>117.4</v>
      </c>
    </row>
    <row r="34" spans="2:31" x14ac:dyDescent="0.3">
      <c r="B34" t="s">
        <v>33</v>
      </c>
      <c r="C34">
        <v>2013</v>
      </c>
      <c r="D34" t="s">
        <v>45</v>
      </c>
      <c r="E34">
        <v>119.8</v>
      </c>
      <c r="F34">
        <v>116.3</v>
      </c>
      <c r="G34">
        <v>122.6</v>
      </c>
      <c r="H34">
        <v>112</v>
      </c>
      <c r="I34">
        <v>103.2</v>
      </c>
      <c r="J34">
        <v>110</v>
      </c>
      <c r="K34">
        <v>192.8</v>
      </c>
      <c r="L34">
        <v>106.3</v>
      </c>
      <c r="M34">
        <v>99.5</v>
      </c>
      <c r="N34">
        <v>110.3</v>
      </c>
      <c r="O34">
        <v>111.8</v>
      </c>
      <c r="P34">
        <v>117.1</v>
      </c>
      <c r="Q34">
        <v>122.9</v>
      </c>
      <c r="R34">
        <v>114.1</v>
      </c>
      <c r="S34">
        <v>113.5</v>
      </c>
      <c r="T34">
        <v>110.3</v>
      </c>
      <c r="U34">
        <v>113</v>
      </c>
      <c r="V34">
        <v>111.1</v>
      </c>
      <c r="W34">
        <v>110</v>
      </c>
      <c r="X34">
        <v>110.9</v>
      </c>
      <c r="Y34">
        <v>108.6</v>
      </c>
      <c r="Z34">
        <v>109.5</v>
      </c>
      <c r="AA34">
        <v>108.5</v>
      </c>
      <c r="AB34">
        <v>111.3</v>
      </c>
      <c r="AC34">
        <v>107.9</v>
      </c>
      <c r="AD34">
        <v>109.6</v>
      </c>
      <c r="AE34">
        <v>115</v>
      </c>
    </row>
    <row r="35" spans="2:31" x14ac:dyDescent="0.3">
      <c r="B35" t="s">
        <v>34</v>
      </c>
      <c r="C35">
        <v>2013</v>
      </c>
      <c r="D35" t="s">
        <v>45</v>
      </c>
      <c r="E35">
        <v>118.1</v>
      </c>
      <c r="F35">
        <v>115.4</v>
      </c>
      <c r="G35">
        <v>118.7</v>
      </c>
      <c r="H35">
        <v>112.5</v>
      </c>
      <c r="I35">
        <v>106.8</v>
      </c>
      <c r="J35">
        <v>113.5</v>
      </c>
      <c r="K35">
        <v>183.1</v>
      </c>
      <c r="L35">
        <v>108.2</v>
      </c>
      <c r="M35">
        <v>102.2</v>
      </c>
      <c r="N35">
        <v>109.4</v>
      </c>
      <c r="O35">
        <v>111.8</v>
      </c>
      <c r="P35">
        <v>116.5</v>
      </c>
      <c r="Q35">
        <v>122.6</v>
      </c>
      <c r="R35">
        <v>113.1</v>
      </c>
      <c r="S35">
        <v>114.2</v>
      </c>
      <c r="T35">
        <v>111.9</v>
      </c>
      <c r="U35">
        <v>113.8</v>
      </c>
      <c r="V35">
        <v>111.1</v>
      </c>
      <c r="W35">
        <v>111.6</v>
      </c>
      <c r="X35">
        <v>111.1</v>
      </c>
      <c r="Y35">
        <v>109.3</v>
      </c>
      <c r="Z35">
        <v>109.5</v>
      </c>
      <c r="AA35">
        <v>108.6</v>
      </c>
      <c r="AB35">
        <v>111.2</v>
      </c>
      <c r="AC35">
        <v>108.1</v>
      </c>
      <c r="AD35">
        <v>109.7</v>
      </c>
      <c r="AE35">
        <v>116.3</v>
      </c>
    </row>
    <row r="36" spans="2:31" x14ac:dyDescent="0.3">
      <c r="B36" t="s">
        <v>30</v>
      </c>
      <c r="C36">
        <v>2013</v>
      </c>
      <c r="D36" t="s">
        <v>46</v>
      </c>
      <c r="E36">
        <v>118.4</v>
      </c>
      <c r="F36">
        <v>115.9</v>
      </c>
      <c r="G36">
        <v>120.4</v>
      </c>
      <c r="H36">
        <v>113.8</v>
      </c>
      <c r="I36">
        <v>109.5</v>
      </c>
      <c r="J36">
        <v>115.5</v>
      </c>
      <c r="K36">
        <v>145.69999999999999</v>
      </c>
      <c r="L36">
        <v>109.5</v>
      </c>
      <c r="M36">
        <v>102.9</v>
      </c>
      <c r="N36">
        <v>109.8</v>
      </c>
      <c r="O36">
        <v>112.1</v>
      </c>
      <c r="P36">
        <v>116.8</v>
      </c>
      <c r="Q36">
        <v>118.7</v>
      </c>
      <c r="R36">
        <v>113.6</v>
      </c>
      <c r="S36">
        <v>115.8</v>
      </c>
      <c r="T36">
        <v>114</v>
      </c>
      <c r="U36">
        <v>115.5</v>
      </c>
      <c r="V36" t="s">
        <v>32</v>
      </c>
      <c r="W36">
        <v>112.8</v>
      </c>
      <c r="X36">
        <v>112.1</v>
      </c>
      <c r="Y36">
        <v>110.1</v>
      </c>
      <c r="Z36">
        <v>109.9</v>
      </c>
      <c r="AA36">
        <v>109.2</v>
      </c>
      <c r="AB36">
        <v>111.6</v>
      </c>
      <c r="AC36">
        <v>108.1</v>
      </c>
      <c r="AD36">
        <v>110.1</v>
      </c>
      <c r="AE36">
        <v>115.5</v>
      </c>
    </row>
    <row r="37" spans="2:31" x14ac:dyDescent="0.3">
      <c r="B37" t="s">
        <v>33</v>
      </c>
      <c r="C37">
        <v>2013</v>
      </c>
      <c r="D37" t="s">
        <v>46</v>
      </c>
      <c r="E37">
        <v>120.5</v>
      </c>
      <c r="F37">
        <v>118.1</v>
      </c>
      <c r="G37">
        <v>128.5</v>
      </c>
      <c r="H37">
        <v>112.8</v>
      </c>
      <c r="I37">
        <v>103.4</v>
      </c>
      <c r="J37">
        <v>110.7</v>
      </c>
      <c r="K37">
        <v>144.80000000000001</v>
      </c>
      <c r="L37">
        <v>107.1</v>
      </c>
      <c r="M37">
        <v>98.6</v>
      </c>
      <c r="N37">
        <v>111.9</v>
      </c>
      <c r="O37">
        <v>112.1</v>
      </c>
      <c r="P37">
        <v>118.1</v>
      </c>
      <c r="Q37">
        <v>117.8</v>
      </c>
      <c r="R37">
        <v>115</v>
      </c>
      <c r="S37">
        <v>114.2</v>
      </c>
      <c r="T37">
        <v>110.9</v>
      </c>
      <c r="U37">
        <v>113.7</v>
      </c>
      <c r="V37">
        <v>110.7</v>
      </c>
      <c r="W37">
        <v>110.4</v>
      </c>
      <c r="X37">
        <v>111.3</v>
      </c>
      <c r="Y37">
        <v>109</v>
      </c>
      <c r="Z37">
        <v>109.7</v>
      </c>
      <c r="AA37">
        <v>108.9</v>
      </c>
      <c r="AB37">
        <v>111.4</v>
      </c>
      <c r="AC37">
        <v>107.7</v>
      </c>
      <c r="AD37">
        <v>109.8</v>
      </c>
      <c r="AE37">
        <v>113.3</v>
      </c>
    </row>
    <row r="38" spans="2:31" x14ac:dyDescent="0.3">
      <c r="B38" t="s">
        <v>34</v>
      </c>
      <c r="C38">
        <v>2013</v>
      </c>
      <c r="D38" t="s">
        <v>46</v>
      </c>
      <c r="E38">
        <v>119.1</v>
      </c>
      <c r="F38">
        <v>116.7</v>
      </c>
      <c r="G38">
        <v>123.5</v>
      </c>
      <c r="H38">
        <v>113.4</v>
      </c>
      <c r="I38">
        <v>107.3</v>
      </c>
      <c r="J38">
        <v>113.3</v>
      </c>
      <c r="K38">
        <v>145.4</v>
      </c>
      <c r="L38">
        <v>108.7</v>
      </c>
      <c r="M38">
        <v>101.5</v>
      </c>
      <c r="N38">
        <v>110.5</v>
      </c>
      <c r="O38">
        <v>112.1</v>
      </c>
      <c r="P38">
        <v>117.4</v>
      </c>
      <c r="Q38">
        <v>118.4</v>
      </c>
      <c r="R38">
        <v>114</v>
      </c>
      <c r="S38">
        <v>115.2</v>
      </c>
      <c r="T38">
        <v>112.7</v>
      </c>
      <c r="U38">
        <v>114.8</v>
      </c>
      <c r="V38">
        <v>110.7</v>
      </c>
      <c r="W38">
        <v>111.9</v>
      </c>
      <c r="X38">
        <v>111.7</v>
      </c>
      <c r="Y38">
        <v>109.7</v>
      </c>
      <c r="Z38">
        <v>109.8</v>
      </c>
      <c r="AA38">
        <v>109</v>
      </c>
      <c r="AB38">
        <v>111.5</v>
      </c>
      <c r="AC38">
        <v>107.9</v>
      </c>
      <c r="AD38">
        <v>110</v>
      </c>
      <c r="AE38">
        <v>114.5</v>
      </c>
    </row>
    <row r="39" spans="2:31" x14ac:dyDescent="0.3">
      <c r="B39" t="s">
        <v>30</v>
      </c>
      <c r="C39">
        <v>2014</v>
      </c>
      <c r="D39" t="s">
        <v>31</v>
      </c>
      <c r="E39">
        <v>118.9</v>
      </c>
      <c r="F39">
        <v>117.1</v>
      </c>
      <c r="G39">
        <v>120.5</v>
      </c>
      <c r="H39">
        <v>114.4</v>
      </c>
      <c r="I39">
        <v>109</v>
      </c>
      <c r="J39">
        <v>115.5</v>
      </c>
      <c r="K39">
        <v>123.9</v>
      </c>
      <c r="L39">
        <v>109.6</v>
      </c>
      <c r="M39">
        <v>101.8</v>
      </c>
      <c r="N39">
        <v>110.2</v>
      </c>
      <c r="O39">
        <v>112.4</v>
      </c>
      <c r="P39">
        <v>117.3</v>
      </c>
      <c r="Q39">
        <v>116</v>
      </c>
      <c r="R39">
        <v>114</v>
      </c>
      <c r="S39">
        <v>116.5</v>
      </c>
      <c r="T39">
        <v>114.5</v>
      </c>
      <c r="U39">
        <v>116.2</v>
      </c>
      <c r="V39" t="s">
        <v>32</v>
      </c>
      <c r="W39">
        <v>113</v>
      </c>
      <c r="X39">
        <v>112.6</v>
      </c>
      <c r="Y39">
        <v>110.6</v>
      </c>
      <c r="Z39">
        <v>110.5</v>
      </c>
      <c r="AA39">
        <v>109.6</v>
      </c>
      <c r="AB39">
        <v>111.8</v>
      </c>
      <c r="AC39">
        <v>108.3</v>
      </c>
      <c r="AD39">
        <v>110.6</v>
      </c>
      <c r="AE39">
        <v>114.2</v>
      </c>
    </row>
    <row r="40" spans="2:31" x14ac:dyDescent="0.3">
      <c r="B40" t="s">
        <v>33</v>
      </c>
      <c r="C40">
        <v>2014</v>
      </c>
      <c r="D40" t="s">
        <v>31</v>
      </c>
      <c r="E40">
        <v>121.2</v>
      </c>
      <c r="F40">
        <v>122</v>
      </c>
      <c r="G40">
        <v>129.9</v>
      </c>
      <c r="H40">
        <v>113.6</v>
      </c>
      <c r="I40">
        <v>102.9</v>
      </c>
      <c r="J40">
        <v>112.1</v>
      </c>
      <c r="K40">
        <v>118.9</v>
      </c>
      <c r="L40">
        <v>107.5</v>
      </c>
      <c r="M40">
        <v>96.9</v>
      </c>
      <c r="N40">
        <v>112.7</v>
      </c>
      <c r="O40">
        <v>112.1</v>
      </c>
      <c r="P40">
        <v>119</v>
      </c>
      <c r="Q40">
        <v>115.5</v>
      </c>
      <c r="R40">
        <v>115.7</v>
      </c>
      <c r="S40">
        <v>114.8</v>
      </c>
      <c r="T40">
        <v>111.3</v>
      </c>
      <c r="U40">
        <v>114.3</v>
      </c>
      <c r="V40">
        <v>111.6</v>
      </c>
      <c r="W40">
        <v>111</v>
      </c>
      <c r="X40">
        <v>111.9</v>
      </c>
      <c r="Y40">
        <v>109.7</v>
      </c>
      <c r="Z40">
        <v>110.8</v>
      </c>
      <c r="AA40">
        <v>109.8</v>
      </c>
      <c r="AB40">
        <v>111.5</v>
      </c>
      <c r="AC40">
        <v>108</v>
      </c>
      <c r="AD40">
        <v>110.5</v>
      </c>
      <c r="AE40">
        <v>112.9</v>
      </c>
    </row>
    <row r="41" spans="2:31" x14ac:dyDescent="0.3">
      <c r="B41" t="s">
        <v>34</v>
      </c>
      <c r="C41">
        <v>2014</v>
      </c>
      <c r="D41" t="s">
        <v>31</v>
      </c>
      <c r="E41">
        <v>119.6</v>
      </c>
      <c r="F41">
        <v>118.8</v>
      </c>
      <c r="G41">
        <v>124.1</v>
      </c>
      <c r="H41">
        <v>114.1</v>
      </c>
      <c r="I41">
        <v>106.8</v>
      </c>
      <c r="J41">
        <v>113.9</v>
      </c>
      <c r="K41">
        <v>122.2</v>
      </c>
      <c r="L41">
        <v>108.9</v>
      </c>
      <c r="M41">
        <v>100.2</v>
      </c>
      <c r="N41">
        <v>111</v>
      </c>
      <c r="O41">
        <v>112.3</v>
      </c>
      <c r="P41">
        <v>118.1</v>
      </c>
      <c r="Q41">
        <v>115.8</v>
      </c>
      <c r="R41">
        <v>114.5</v>
      </c>
      <c r="S41">
        <v>115.8</v>
      </c>
      <c r="T41">
        <v>113.2</v>
      </c>
      <c r="U41">
        <v>115.4</v>
      </c>
      <c r="V41">
        <v>111.6</v>
      </c>
      <c r="W41">
        <v>112.2</v>
      </c>
      <c r="X41">
        <v>112.3</v>
      </c>
      <c r="Y41">
        <v>110.3</v>
      </c>
      <c r="Z41">
        <v>110.7</v>
      </c>
      <c r="AA41">
        <v>109.7</v>
      </c>
      <c r="AB41">
        <v>111.6</v>
      </c>
      <c r="AC41">
        <v>108.2</v>
      </c>
      <c r="AD41">
        <v>110.6</v>
      </c>
      <c r="AE41">
        <v>113.6</v>
      </c>
    </row>
    <row r="42" spans="2:31" x14ac:dyDescent="0.3">
      <c r="B42" t="s">
        <v>30</v>
      </c>
      <c r="C42">
        <v>2014</v>
      </c>
      <c r="D42" t="s">
        <v>35</v>
      </c>
      <c r="E42">
        <v>119.4</v>
      </c>
      <c r="F42">
        <v>117.7</v>
      </c>
      <c r="G42">
        <v>121.2</v>
      </c>
      <c r="H42">
        <v>115</v>
      </c>
      <c r="I42">
        <v>109</v>
      </c>
      <c r="J42">
        <v>116.6</v>
      </c>
      <c r="K42">
        <v>116</v>
      </c>
      <c r="L42">
        <v>109.8</v>
      </c>
      <c r="M42">
        <v>101.1</v>
      </c>
      <c r="N42">
        <v>110.4</v>
      </c>
      <c r="O42">
        <v>112.9</v>
      </c>
      <c r="P42">
        <v>117.8</v>
      </c>
      <c r="Q42">
        <v>115.3</v>
      </c>
      <c r="R42">
        <v>114.2</v>
      </c>
      <c r="S42">
        <v>117.1</v>
      </c>
      <c r="T42">
        <v>114.5</v>
      </c>
      <c r="U42">
        <v>116.7</v>
      </c>
      <c r="V42" t="s">
        <v>32</v>
      </c>
      <c r="W42">
        <v>113.2</v>
      </c>
      <c r="X42">
        <v>112.9</v>
      </c>
      <c r="Y42">
        <v>110.9</v>
      </c>
      <c r="Z42">
        <v>110.8</v>
      </c>
      <c r="AA42">
        <v>109.9</v>
      </c>
      <c r="AB42">
        <v>112</v>
      </c>
      <c r="AC42">
        <v>108.7</v>
      </c>
      <c r="AD42">
        <v>110.9</v>
      </c>
      <c r="AE42">
        <v>114</v>
      </c>
    </row>
    <row r="43" spans="2:31" x14ac:dyDescent="0.3">
      <c r="B43" t="s">
        <v>33</v>
      </c>
      <c r="C43">
        <v>2014</v>
      </c>
      <c r="D43" t="s">
        <v>35</v>
      </c>
      <c r="E43">
        <v>121.9</v>
      </c>
      <c r="F43">
        <v>122</v>
      </c>
      <c r="G43">
        <v>124.5</v>
      </c>
      <c r="H43">
        <v>115.2</v>
      </c>
      <c r="I43">
        <v>102.5</v>
      </c>
      <c r="J43">
        <v>114.1</v>
      </c>
      <c r="K43">
        <v>111.5</v>
      </c>
      <c r="L43">
        <v>108.2</v>
      </c>
      <c r="M43">
        <v>95.4</v>
      </c>
      <c r="N43">
        <v>113.5</v>
      </c>
      <c r="O43">
        <v>112.1</v>
      </c>
      <c r="P43">
        <v>119.9</v>
      </c>
      <c r="Q43">
        <v>115.2</v>
      </c>
      <c r="R43">
        <v>116.2</v>
      </c>
      <c r="S43">
        <v>115.3</v>
      </c>
      <c r="T43">
        <v>111.7</v>
      </c>
      <c r="U43">
        <v>114.7</v>
      </c>
      <c r="V43">
        <v>112.5</v>
      </c>
      <c r="W43">
        <v>111.1</v>
      </c>
      <c r="X43">
        <v>112.6</v>
      </c>
      <c r="Y43">
        <v>110.4</v>
      </c>
      <c r="Z43">
        <v>111.3</v>
      </c>
      <c r="AA43">
        <v>110.3</v>
      </c>
      <c r="AB43">
        <v>111.6</v>
      </c>
      <c r="AC43">
        <v>108.7</v>
      </c>
      <c r="AD43">
        <v>111</v>
      </c>
      <c r="AE43">
        <v>113.1</v>
      </c>
    </row>
    <row r="44" spans="2:31" x14ac:dyDescent="0.3">
      <c r="B44" t="s">
        <v>34</v>
      </c>
      <c r="C44">
        <v>2014</v>
      </c>
      <c r="D44" t="s">
        <v>35</v>
      </c>
      <c r="E44">
        <v>120.2</v>
      </c>
      <c r="F44">
        <v>119.2</v>
      </c>
      <c r="G44">
        <v>122.5</v>
      </c>
      <c r="H44">
        <v>115.1</v>
      </c>
      <c r="I44">
        <v>106.6</v>
      </c>
      <c r="J44">
        <v>115.4</v>
      </c>
      <c r="K44">
        <v>114.5</v>
      </c>
      <c r="L44">
        <v>109.3</v>
      </c>
      <c r="M44">
        <v>99.2</v>
      </c>
      <c r="N44">
        <v>111.4</v>
      </c>
      <c r="O44">
        <v>112.6</v>
      </c>
      <c r="P44">
        <v>118.8</v>
      </c>
      <c r="Q44">
        <v>115.3</v>
      </c>
      <c r="R44">
        <v>114.7</v>
      </c>
      <c r="S44">
        <v>116.4</v>
      </c>
      <c r="T44">
        <v>113.3</v>
      </c>
      <c r="U44">
        <v>115.9</v>
      </c>
      <c r="V44">
        <v>112.5</v>
      </c>
      <c r="W44">
        <v>112.4</v>
      </c>
      <c r="X44">
        <v>112.8</v>
      </c>
      <c r="Y44">
        <v>110.7</v>
      </c>
      <c r="Z44">
        <v>111.1</v>
      </c>
      <c r="AA44">
        <v>110.1</v>
      </c>
      <c r="AB44">
        <v>111.8</v>
      </c>
      <c r="AC44">
        <v>108.7</v>
      </c>
      <c r="AD44">
        <v>110.9</v>
      </c>
      <c r="AE44">
        <v>113.6</v>
      </c>
    </row>
    <row r="45" spans="2:31" x14ac:dyDescent="0.3">
      <c r="B45" t="s">
        <v>30</v>
      </c>
      <c r="C45">
        <v>2014</v>
      </c>
      <c r="D45" t="s">
        <v>36</v>
      </c>
      <c r="E45">
        <v>120.1</v>
      </c>
      <c r="F45">
        <v>118.1</v>
      </c>
      <c r="G45">
        <v>120.7</v>
      </c>
      <c r="H45">
        <v>116.1</v>
      </c>
      <c r="I45">
        <v>109.3</v>
      </c>
      <c r="J45">
        <v>119.6</v>
      </c>
      <c r="K45">
        <v>117.9</v>
      </c>
      <c r="L45">
        <v>110.2</v>
      </c>
      <c r="M45">
        <v>101.2</v>
      </c>
      <c r="N45">
        <v>110.7</v>
      </c>
      <c r="O45">
        <v>113</v>
      </c>
      <c r="P45">
        <v>118.3</v>
      </c>
      <c r="Q45">
        <v>116.2</v>
      </c>
      <c r="R45">
        <v>114.6</v>
      </c>
      <c r="S45">
        <v>117.5</v>
      </c>
      <c r="T45">
        <v>114.9</v>
      </c>
      <c r="U45">
        <v>117.2</v>
      </c>
      <c r="V45" t="s">
        <v>32</v>
      </c>
      <c r="W45">
        <v>113.4</v>
      </c>
      <c r="X45">
        <v>113.4</v>
      </c>
      <c r="Y45">
        <v>111.4</v>
      </c>
      <c r="Z45">
        <v>111.2</v>
      </c>
      <c r="AA45">
        <v>110.2</v>
      </c>
      <c r="AB45">
        <v>112.4</v>
      </c>
      <c r="AC45">
        <v>108.9</v>
      </c>
      <c r="AD45">
        <v>111.3</v>
      </c>
      <c r="AE45">
        <v>114.6</v>
      </c>
    </row>
    <row r="46" spans="2:31" x14ac:dyDescent="0.3">
      <c r="B46" t="s">
        <v>33</v>
      </c>
      <c r="C46">
        <v>2014</v>
      </c>
      <c r="D46" t="s">
        <v>36</v>
      </c>
      <c r="E46">
        <v>122.1</v>
      </c>
      <c r="F46">
        <v>121.4</v>
      </c>
      <c r="G46">
        <v>121.5</v>
      </c>
      <c r="H46">
        <v>116.2</v>
      </c>
      <c r="I46">
        <v>102.8</v>
      </c>
      <c r="J46">
        <v>117.7</v>
      </c>
      <c r="K46">
        <v>113.3</v>
      </c>
      <c r="L46">
        <v>108.9</v>
      </c>
      <c r="M46">
        <v>96.3</v>
      </c>
      <c r="N46">
        <v>114.1</v>
      </c>
      <c r="O46">
        <v>112.2</v>
      </c>
      <c r="P46">
        <v>120.5</v>
      </c>
      <c r="Q46">
        <v>116</v>
      </c>
      <c r="R46">
        <v>116.7</v>
      </c>
      <c r="S46">
        <v>115.8</v>
      </c>
      <c r="T46">
        <v>112.1</v>
      </c>
      <c r="U46">
        <v>115.2</v>
      </c>
      <c r="V46">
        <v>113.2</v>
      </c>
      <c r="W46">
        <v>110.9</v>
      </c>
      <c r="X46">
        <v>113</v>
      </c>
      <c r="Y46">
        <v>110.8</v>
      </c>
      <c r="Z46">
        <v>111.6</v>
      </c>
      <c r="AA46">
        <v>110.9</v>
      </c>
      <c r="AB46">
        <v>111.8</v>
      </c>
      <c r="AC46">
        <v>109.2</v>
      </c>
      <c r="AD46">
        <v>111.4</v>
      </c>
      <c r="AE46">
        <v>113.7</v>
      </c>
    </row>
    <row r="47" spans="2:31" x14ac:dyDescent="0.3">
      <c r="B47" t="s">
        <v>34</v>
      </c>
      <c r="C47">
        <v>2014</v>
      </c>
      <c r="D47" t="s">
        <v>47</v>
      </c>
      <c r="E47">
        <v>120.7</v>
      </c>
      <c r="F47">
        <v>119.3</v>
      </c>
      <c r="G47">
        <v>121</v>
      </c>
      <c r="H47">
        <v>116.1</v>
      </c>
      <c r="I47">
        <v>106.9</v>
      </c>
      <c r="J47">
        <v>118.7</v>
      </c>
      <c r="K47">
        <v>116.3</v>
      </c>
      <c r="L47">
        <v>109.8</v>
      </c>
      <c r="M47">
        <v>99.6</v>
      </c>
      <c r="N47">
        <v>111.8</v>
      </c>
      <c r="O47">
        <v>112.7</v>
      </c>
      <c r="P47">
        <v>119.3</v>
      </c>
      <c r="Q47">
        <v>116.1</v>
      </c>
      <c r="R47">
        <v>115.2</v>
      </c>
      <c r="S47">
        <v>116.8</v>
      </c>
      <c r="T47">
        <v>113.7</v>
      </c>
      <c r="U47">
        <v>116.4</v>
      </c>
      <c r="V47">
        <v>113.2</v>
      </c>
      <c r="W47">
        <v>112.5</v>
      </c>
      <c r="X47">
        <v>113.2</v>
      </c>
      <c r="Y47">
        <v>111.2</v>
      </c>
      <c r="Z47">
        <v>111.4</v>
      </c>
      <c r="AA47">
        <v>110.6</v>
      </c>
      <c r="AB47">
        <v>112</v>
      </c>
      <c r="AC47">
        <v>109</v>
      </c>
      <c r="AD47">
        <v>111.3</v>
      </c>
      <c r="AE47">
        <v>114.2</v>
      </c>
    </row>
    <row r="48" spans="2:31" x14ac:dyDescent="0.3">
      <c r="B48" t="s">
        <v>30</v>
      </c>
      <c r="C48">
        <v>2014</v>
      </c>
      <c r="D48" t="s">
        <v>37</v>
      </c>
      <c r="E48">
        <v>120.2</v>
      </c>
      <c r="F48">
        <v>118.9</v>
      </c>
      <c r="G48">
        <v>118.1</v>
      </c>
      <c r="H48">
        <v>117</v>
      </c>
      <c r="I48">
        <v>109.7</v>
      </c>
      <c r="J48">
        <v>125.5</v>
      </c>
      <c r="K48">
        <v>120.5</v>
      </c>
      <c r="L48">
        <v>111</v>
      </c>
      <c r="M48">
        <v>102.6</v>
      </c>
      <c r="N48">
        <v>111.2</v>
      </c>
      <c r="O48">
        <v>113.5</v>
      </c>
      <c r="P48">
        <v>118.7</v>
      </c>
      <c r="Q48">
        <v>117.2</v>
      </c>
      <c r="R48">
        <v>115.4</v>
      </c>
      <c r="S48">
        <v>118.1</v>
      </c>
      <c r="T48">
        <v>116.1</v>
      </c>
      <c r="U48">
        <v>117.8</v>
      </c>
      <c r="V48" t="s">
        <v>32</v>
      </c>
      <c r="W48">
        <v>113.4</v>
      </c>
      <c r="X48">
        <v>113.7</v>
      </c>
      <c r="Y48">
        <v>111.8</v>
      </c>
      <c r="Z48">
        <v>111.2</v>
      </c>
      <c r="AA48">
        <v>110.5</v>
      </c>
      <c r="AB48">
        <v>113</v>
      </c>
      <c r="AC48">
        <v>108.9</v>
      </c>
      <c r="AD48">
        <v>111.5</v>
      </c>
      <c r="AE48">
        <v>115.4</v>
      </c>
    </row>
    <row r="49" spans="2:31" x14ac:dyDescent="0.3">
      <c r="B49" t="s">
        <v>33</v>
      </c>
      <c r="C49">
        <v>2014</v>
      </c>
      <c r="D49" t="s">
        <v>37</v>
      </c>
      <c r="E49">
        <v>122.5</v>
      </c>
      <c r="F49">
        <v>121.7</v>
      </c>
      <c r="G49">
        <v>113.3</v>
      </c>
      <c r="H49">
        <v>117</v>
      </c>
      <c r="I49">
        <v>103.1</v>
      </c>
      <c r="J49">
        <v>126.7</v>
      </c>
      <c r="K49">
        <v>121.2</v>
      </c>
      <c r="L49">
        <v>111</v>
      </c>
      <c r="M49">
        <v>100.3</v>
      </c>
      <c r="N49">
        <v>115.3</v>
      </c>
      <c r="O49">
        <v>112.7</v>
      </c>
      <c r="P49">
        <v>121</v>
      </c>
      <c r="Q49">
        <v>118.2</v>
      </c>
      <c r="R49">
        <v>117.6</v>
      </c>
      <c r="S49">
        <v>116.3</v>
      </c>
      <c r="T49">
        <v>112.5</v>
      </c>
      <c r="U49">
        <v>115.7</v>
      </c>
      <c r="V49">
        <v>113.9</v>
      </c>
      <c r="W49">
        <v>110.9</v>
      </c>
      <c r="X49">
        <v>113.4</v>
      </c>
      <c r="Y49">
        <v>111</v>
      </c>
      <c r="Z49">
        <v>111.2</v>
      </c>
      <c r="AA49">
        <v>111.2</v>
      </c>
      <c r="AB49">
        <v>112.5</v>
      </c>
      <c r="AC49">
        <v>109.1</v>
      </c>
      <c r="AD49">
        <v>111.4</v>
      </c>
      <c r="AE49">
        <v>114.7</v>
      </c>
    </row>
    <row r="50" spans="2:31" x14ac:dyDescent="0.3">
      <c r="B50" t="s">
        <v>34</v>
      </c>
      <c r="C50">
        <v>2014</v>
      </c>
      <c r="D50" t="s">
        <v>37</v>
      </c>
      <c r="E50">
        <v>120.9</v>
      </c>
      <c r="F50">
        <v>119.9</v>
      </c>
      <c r="G50">
        <v>116.2</v>
      </c>
      <c r="H50">
        <v>117</v>
      </c>
      <c r="I50">
        <v>107.3</v>
      </c>
      <c r="J50">
        <v>126.1</v>
      </c>
      <c r="K50">
        <v>120.7</v>
      </c>
      <c r="L50">
        <v>111</v>
      </c>
      <c r="M50">
        <v>101.8</v>
      </c>
      <c r="N50">
        <v>112.6</v>
      </c>
      <c r="O50">
        <v>113.2</v>
      </c>
      <c r="P50">
        <v>119.8</v>
      </c>
      <c r="Q50">
        <v>117.6</v>
      </c>
      <c r="R50">
        <v>116</v>
      </c>
      <c r="S50">
        <v>117.4</v>
      </c>
      <c r="T50">
        <v>114.6</v>
      </c>
      <c r="U50">
        <v>117</v>
      </c>
      <c r="V50">
        <v>113.9</v>
      </c>
      <c r="W50">
        <v>112.5</v>
      </c>
      <c r="X50">
        <v>113.6</v>
      </c>
      <c r="Y50">
        <v>111.5</v>
      </c>
      <c r="Z50">
        <v>111.2</v>
      </c>
      <c r="AA50">
        <v>110.9</v>
      </c>
      <c r="AB50">
        <v>112.7</v>
      </c>
      <c r="AC50">
        <v>109</v>
      </c>
      <c r="AD50">
        <v>111.5</v>
      </c>
      <c r="AE50">
        <v>115.1</v>
      </c>
    </row>
    <row r="51" spans="2:31" x14ac:dyDescent="0.3">
      <c r="B51" t="s">
        <v>30</v>
      </c>
      <c r="C51">
        <v>2014</v>
      </c>
      <c r="D51" t="s">
        <v>38</v>
      </c>
      <c r="E51">
        <v>120.3</v>
      </c>
      <c r="F51">
        <v>120.2</v>
      </c>
      <c r="G51">
        <v>116.9</v>
      </c>
      <c r="H51">
        <v>118</v>
      </c>
      <c r="I51">
        <v>110.1</v>
      </c>
      <c r="J51">
        <v>126.3</v>
      </c>
      <c r="K51">
        <v>123.9</v>
      </c>
      <c r="L51">
        <v>111.5</v>
      </c>
      <c r="M51">
        <v>103.5</v>
      </c>
      <c r="N51">
        <v>111.6</v>
      </c>
      <c r="O51">
        <v>114.2</v>
      </c>
      <c r="P51">
        <v>119.2</v>
      </c>
      <c r="Q51">
        <v>118.2</v>
      </c>
      <c r="R51">
        <v>116.3</v>
      </c>
      <c r="S51">
        <v>118.7</v>
      </c>
      <c r="T51">
        <v>116.8</v>
      </c>
      <c r="U51">
        <v>118.5</v>
      </c>
      <c r="V51" t="s">
        <v>32</v>
      </c>
      <c r="W51">
        <v>113.4</v>
      </c>
      <c r="X51">
        <v>114.1</v>
      </c>
      <c r="Y51">
        <v>112.1</v>
      </c>
      <c r="Z51">
        <v>111.4</v>
      </c>
      <c r="AA51">
        <v>110.9</v>
      </c>
      <c r="AB51">
        <v>113.1</v>
      </c>
      <c r="AC51">
        <v>108.9</v>
      </c>
      <c r="AD51">
        <v>111.8</v>
      </c>
      <c r="AE51">
        <v>116</v>
      </c>
    </row>
    <row r="52" spans="2:31" x14ac:dyDescent="0.3">
      <c r="B52" t="s">
        <v>33</v>
      </c>
      <c r="C52">
        <v>2014</v>
      </c>
      <c r="D52" t="s">
        <v>38</v>
      </c>
      <c r="E52">
        <v>122.7</v>
      </c>
      <c r="F52">
        <v>124.1</v>
      </c>
      <c r="G52">
        <v>114.2</v>
      </c>
      <c r="H52">
        <v>119.1</v>
      </c>
      <c r="I52">
        <v>103.5</v>
      </c>
      <c r="J52">
        <v>129.19999999999999</v>
      </c>
      <c r="K52">
        <v>127</v>
      </c>
      <c r="L52">
        <v>112.6</v>
      </c>
      <c r="M52">
        <v>101.3</v>
      </c>
      <c r="N52">
        <v>117</v>
      </c>
      <c r="O52">
        <v>112.9</v>
      </c>
      <c r="P52">
        <v>121.7</v>
      </c>
      <c r="Q52">
        <v>120</v>
      </c>
      <c r="R52">
        <v>118.3</v>
      </c>
      <c r="S52">
        <v>116.8</v>
      </c>
      <c r="T52">
        <v>112.9</v>
      </c>
      <c r="U52">
        <v>116.2</v>
      </c>
      <c r="V52">
        <v>114.3</v>
      </c>
      <c r="W52">
        <v>111.1</v>
      </c>
      <c r="X52">
        <v>114.1</v>
      </c>
      <c r="Y52">
        <v>111.2</v>
      </c>
      <c r="Z52">
        <v>111.3</v>
      </c>
      <c r="AA52">
        <v>111.5</v>
      </c>
      <c r="AB52">
        <v>112.9</v>
      </c>
      <c r="AC52">
        <v>109.3</v>
      </c>
      <c r="AD52">
        <v>111.7</v>
      </c>
      <c r="AE52">
        <v>115.6</v>
      </c>
    </row>
    <row r="53" spans="2:31" x14ac:dyDescent="0.3">
      <c r="B53" t="s">
        <v>34</v>
      </c>
      <c r="C53">
        <v>2014</v>
      </c>
      <c r="D53" t="s">
        <v>38</v>
      </c>
      <c r="E53">
        <v>121.1</v>
      </c>
      <c r="F53">
        <v>121.6</v>
      </c>
      <c r="G53">
        <v>115.9</v>
      </c>
      <c r="H53">
        <v>118.4</v>
      </c>
      <c r="I53">
        <v>107.7</v>
      </c>
      <c r="J53">
        <v>127.7</v>
      </c>
      <c r="K53">
        <v>125</v>
      </c>
      <c r="L53">
        <v>111.9</v>
      </c>
      <c r="M53">
        <v>102.8</v>
      </c>
      <c r="N53">
        <v>113.4</v>
      </c>
      <c r="O53">
        <v>113.7</v>
      </c>
      <c r="P53">
        <v>120.4</v>
      </c>
      <c r="Q53">
        <v>118.9</v>
      </c>
      <c r="R53">
        <v>116.8</v>
      </c>
      <c r="S53">
        <v>118</v>
      </c>
      <c r="T53">
        <v>115.2</v>
      </c>
      <c r="U53">
        <v>117.6</v>
      </c>
      <c r="V53">
        <v>114.3</v>
      </c>
      <c r="W53">
        <v>112.5</v>
      </c>
      <c r="X53">
        <v>114.1</v>
      </c>
      <c r="Y53">
        <v>111.8</v>
      </c>
      <c r="Z53">
        <v>111.3</v>
      </c>
      <c r="AA53">
        <v>111.2</v>
      </c>
      <c r="AB53">
        <v>113</v>
      </c>
      <c r="AC53">
        <v>109.1</v>
      </c>
      <c r="AD53">
        <v>111.8</v>
      </c>
      <c r="AE53">
        <v>115.8</v>
      </c>
    </row>
    <row r="54" spans="2:31" x14ac:dyDescent="0.3">
      <c r="B54" t="s">
        <v>30</v>
      </c>
      <c r="C54">
        <v>2014</v>
      </c>
      <c r="D54" t="s">
        <v>39</v>
      </c>
      <c r="E54">
        <v>120.7</v>
      </c>
      <c r="F54">
        <v>121.6</v>
      </c>
      <c r="G54">
        <v>116.1</v>
      </c>
      <c r="H54">
        <v>119.3</v>
      </c>
      <c r="I54">
        <v>110.3</v>
      </c>
      <c r="J54">
        <v>125.8</v>
      </c>
      <c r="K54">
        <v>129.30000000000001</v>
      </c>
      <c r="L54">
        <v>112.2</v>
      </c>
      <c r="M54">
        <v>103.6</v>
      </c>
      <c r="N54">
        <v>112.3</v>
      </c>
      <c r="O54">
        <v>114.9</v>
      </c>
      <c r="P54">
        <v>120.1</v>
      </c>
      <c r="Q54">
        <v>119.5</v>
      </c>
      <c r="R54">
        <v>117.3</v>
      </c>
      <c r="S54">
        <v>119.7</v>
      </c>
      <c r="T54">
        <v>117.3</v>
      </c>
      <c r="U54">
        <v>119.3</v>
      </c>
      <c r="V54" t="s">
        <v>32</v>
      </c>
      <c r="W54">
        <v>114.4</v>
      </c>
      <c r="X54">
        <v>114.9</v>
      </c>
      <c r="Y54">
        <v>112.8</v>
      </c>
      <c r="Z54">
        <v>112.2</v>
      </c>
      <c r="AA54">
        <v>111.4</v>
      </c>
      <c r="AB54">
        <v>114.3</v>
      </c>
      <c r="AC54">
        <v>108</v>
      </c>
      <c r="AD54">
        <v>112.3</v>
      </c>
      <c r="AE54">
        <v>117</v>
      </c>
    </row>
    <row r="55" spans="2:31" x14ac:dyDescent="0.3">
      <c r="B55" t="s">
        <v>33</v>
      </c>
      <c r="C55">
        <v>2014</v>
      </c>
      <c r="D55" t="s">
        <v>39</v>
      </c>
      <c r="E55">
        <v>123.1</v>
      </c>
      <c r="F55">
        <v>125.9</v>
      </c>
      <c r="G55">
        <v>115.4</v>
      </c>
      <c r="H55">
        <v>120.4</v>
      </c>
      <c r="I55">
        <v>103.4</v>
      </c>
      <c r="J55">
        <v>131.19999999999999</v>
      </c>
      <c r="K55">
        <v>137.5</v>
      </c>
      <c r="L55">
        <v>112.8</v>
      </c>
      <c r="M55">
        <v>101.4</v>
      </c>
      <c r="N55">
        <v>118.3</v>
      </c>
      <c r="O55">
        <v>113.2</v>
      </c>
      <c r="P55">
        <v>122.4</v>
      </c>
      <c r="Q55">
        <v>122</v>
      </c>
      <c r="R55">
        <v>119</v>
      </c>
      <c r="S55">
        <v>117.4</v>
      </c>
      <c r="T55">
        <v>113.2</v>
      </c>
      <c r="U55">
        <v>116.7</v>
      </c>
      <c r="V55">
        <v>113.9</v>
      </c>
      <c r="W55">
        <v>111.2</v>
      </c>
      <c r="X55">
        <v>114.3</v>
      </c>
      <c r="Y55">
        <v>111.4</v>
      </c>
      <c r="Z55">
        <v>111.5</v>
      </c>
      <c r="AA55">
        <v>111.8</v>
      </c>
      <c r="AB55">
        <v>115.1</v>
      </c>
      <c r="AC55">
        <v>108.7</v>
      </c>
      <c r="AD55">
        <v>112.2</v>
      </c>
      <c r="AE55">
        <v>116.4</v>
      </c>
    </row>
    <row r="56" spans="2:31" x14ac:dyDescent="0.3">
      <c r="B56" t="s">
        <v>34</v>
      </c>
      <c r="C56">
        <v>2014</v>
      </c>
      <c r="D56" t="s">
        <v>39</v>
      </c>
      <c r="E56">
        <v>121.5</v>
      </c>
      <c r="F56">
        <v>123.1</v>
      </c>
      <c r="G56">
        <v>115.8</v>
      </c>
      <c r="H56">
        <v>119.7</v>
      </c>
      <c r="I56">
        <v>107.8</v>
      </c>
      <c r="J56">
        <v>128.30000000000001</v>
      </c>
      <c r="K56">
        <v>132.1</v>
      </c>
      <c r="L56">
        <v>112.4</v>
      </c>
      <c r="M56">
        <v>102.9</v>
      </c>
      <c r="N56">
        <v>114.3</v>
      </c>
      <c r="O56">
        <v>114.2</v>
      </c>
      <c r="P56">
        <v>121.2</v>
      </c>
      <c r="Q56">
        <v>120.4</v>
      </c>
      <c r="R56">
        <v>117.8</v>
      </c>
      <c r="S56">
        <v>118.8</v>
      </c>
      <c r="T56">
        <v>115.6</v>
      </c>
      <c r="U56">
        <v>118.3</v>
      </c>
      <c r="V56">
        <v>113.9</v>
      </c>
      <c r="W56">
        <v>113.2</v>
      </c>
      <c r="X56">
        <v>114.6</v>
      </c>
      <c r="Y56">
        <v>112.3</v>
      </c>
      <c r="Z56">
        <v>111.8</v>
      </c>
      <c r="AA56">
        <v>111.6</v>
      </c>
      <c r="AB56">
        <v>114.8</v>
      </c>
      <c r="AC56">
        <v>108.3</v>
      </c>
      <c r="AD56">
        <v>112.3</v>
      </c>
      <c r="AE56">
        <v>116.7</v>
      </c>
    </row>
    <row r="57" spans="2:31" x14ac:dyDescent="0.3">
      <c r="B57" t="s">
        <v>30</v>
      </c>
      <c r="C57">
        <v>2014</v>
      </c>
      <c r="D57" t="s">
        <v>40</v>
      </c>
      <c r="E57">
        <v>121.7</v>
      </c>
      <c r="F57">
        <v>122.5</v>
      </c>
      <c r="G57">
        <v>117.7</v>
      </c>
      <c r="H57">
        <v>120.6</v>
      </c>
      <c r="I57">
        <v>110.4</v>
      </c>
      <c r="J57">
        <v>129.1</v>
      </c>
      <c r="K57">
        <v>150.1</v>
      </c>
      <c r="L57">
        <v>113.2</v>
      </c>
      <c r="M57">
        <v>104.8</v>
      </c>
      <c r="N57">
        <v>113.3</v>
      </c>
      <c r="O57">
        <v>115.6</v>
      </c>
      <c r="P57">
        <v>120.9</v>
      </c>
      <c r="Q57">
        <v>123.3</v>
      </c>
      <c r="R57">
        <v>118</v>
      </c>
      <c r="S57">
        <v>120.7</v>
      </c>
      <c r="T57">
        <v>118.3</v>
      </c>
      <c r="U57">
        <v>120.3</v>
      </c>
      <c r="V57" t="s">
        <v>32</v>
      </c>
      <c r="W57">
        <v>115.3</v>
      </c>
      <c r="X57">
        <v>115.4</v>
      </c>
      <c r="Y57">
        <v>113.4</v>
      </c>
      <c r="Z57">
        <v>113.2</v>
      </c>
      <c r="AA57">
        <v>111.8</v>
      </c>
      <c r="AB57">
        <v>115.5</v>
      </c>
      <c r="AC57">
        <v>108.8</v>
      </c>
      <c r="AD57">
        <v>113.1</v>
      </c>
      <c r="AE57">
        <v>119.5</v>
      </c>
    </row>
    <row r="58" spans="2:31" x14ac:dyDescent="0.3">
      <c r="B58" t="s">
        <v>33</v>
      </c>
      <c r="C58">
        <v>2014</v>
      </c>
      <c r="D58" t="s">
        <v>40</v>
      </c>
      <c r="E58">
        <v>123.8</v>
      </c>
      <c r="F58">
        <v>126.4</v>
      </c>
      <c r="G58">
        <v>118</v>
      </c>
      <c r="H58">
        <v>121.6</v>
      </c>
      <c r="I58">
        <v>103.5</v>
      </c>
      <c r="J58">
        <v>133.69999999999999</v>
      </c>
      <c r="K58">
        <v>172.4</v>
      </c>
      <c r="L58">
        <v>113.1</v>
      </c>
      <c r="M58">
        <v>102.7</v>
      </c>
      <c r="N58">
        <v>120</v>
      </c>
      <c r="O58">
        <v>113.8</v>
      </c>
      <c r="P58">
        <v>123.4</v>
      </c>
      <c r="Q58">
        <v>127.1</v>
      </c>
      <c r="R58">
        <v>121</v>
      </c>
      <c r="S58">
        <v>118</v>
      </c>
      <c r="T58">
        <v>113.6</v>
      </c>
      <c r="U58">
        <v>117.4</v>
      </c>
      <c r="V58">
        <v>114.8</v>
      </c>
      <c r="W58">
        <v>111.6</v>
      </c>
      <c r="X58">
        <v>114.9</v>
      </c>
      <c r="Y58">
        <v>111.5</v>
      </c>
      <c r="Z58">
        <v>113</v>
      </c>
      <c r="AA58">
        <v>112.4</v>
      </c>
      <c r="AB58">
        <v>117.8</v>
      </c>
      <c r="AC58">
        <v>109.7</v>
      </c>
      <c r="AD58">
        <v>113.5</v>
      </c>
      <c r="AE58">
        <v>118.9</v>
      </c>
    </row>
    <row r="59" spans="2:31" x14ac:dyDescent="0.3">
      <c r="B59" t="s">
        <v>34</v>
      </c>
      <c r="C59">
        <v>2014</v>
      </c>
      <c r="D59" t="s">
        <v>40</v>
      </c>
      <c r="E59">
        <v>122.4</v>
      </c>
      <c r="F59">
        <v>123.9</v>
      </c>
      <c r="G59">
        <v>117.8</v>
      </c>
      <c r="H59">
        <v>121</v>
      </c>
      <c r="I59">
        <v>107.9</v>
      </c>
      <c r="J59">
        <v>131.19999999999999</v>
      </c>
      <c r="K59">
        <v>157.69999999999999</v>
      </c>
      <c r="L59">
        <v>113.2</v>
      </c>
      <c r="M59">
        <v>104.1</v>
      </c>
      <c r="N59">
        <v>115.5</v>
      </c>
      <c r="O59">
        <v>114.8</v>
      </c>
      <c r="P59">
        <v>122.1</v>
      </c>
      <c r="Q59">
        <v>124.7</v>
      </c>
      <c r="R59">
        <v>118.8</v>
      </c>
      <c r="S59">
        <v>119.6</v>
      </c>
      <c r="T59">
        <v>116.3</v>
      </c>
      <c r="U59">
        <v>119.1</v>
      </c>
      <c r="V59">
        <v>114.8</v>
      </c>
      <c r="W59">
        <v>113.9</v>
      </c>
      <c r="X59">
        <v>115.2</v>
      </c>
      <c r="Y59">
        <v>112.7</v>
      </c>
      <c r="Z59">
        <v>113.1</v>
      </c>
      <c r="AA59">
        <v>112.1</v>
      </c>
      <c r="AB59">
        <v>116.8</v>
      </c>
      <c r="AC59">
        <v>109.2</v>
      </c>
      <c r="AD59">
        <v>113.3</v>
      </c>
      <c r="AE59">
        <v>119.2</v>
      </c>
    </row>
    <row r="60" spans="2:31" x14ac:dyDescent="0.3">
      <c r="B60" t="s">
        <v>30</v>
      </c>
      <c r="C60">
        <v>2014</v>
      </c>
      <c r="D60" t="s">
        <v>41</v>
      </c>
      <c r="E60">
        <v>121.8</v>
      </c>
      <c r="F60">
        <v>122.8</v>
      </c>
      <c r="G60">
        <v>117.8</v>
      </c>
      <c r="H60">
        <v>121.9</v>
      </c>
      <c r="I60">
        <v>110.6</v>
      </c>
      <c r="J60">
        <v>129.69999999999999</v>
      </c>
      <c r="K60">
        <v>161.1</v>
      </c>
      <c r="L60">
        <v>114.1</v>
      </c>
      <c r="M60">
        <v>105.1</v>
      </c>
      <c r="N60">
        <v>114.6</v>
      </c>
      <c r="O60">
        <v>115.8</v>
      </c>
      <c r="P60">
        <v>121.7</v>
      </c>
      <c r="Q60">
        <v>125.3</v>
      </c>
      <c r="R60">
        <v>118.8</v>
      </c>
      <c r="S60">
        <v>120.9</v>
      </c>
      <c r="T60">
        <v>118.8</v>
      </c>
      <c r="U60">
        <v>120.7</v>
      </c>
      <c r="V60" t="s">
        <v>32</v>
      </c>
      <c r="W60">
        <v>115.4</v>
      </c>
      <c r="X60">
        <v>115.9</v>
      </c>
      <c r="Y60">
        <v>114</v>
      </c>
      <c r="Z60">
        <v>113.2</v>
      </c>
      <c r="AA60">
        <v>112.2</v>
      </c>
      <c r="AB60">
        <v>116.2</v>
      </c>
      <c r="AC60">
        <v>109.4</v>
      </c>
      <c r="AD60">
        <v>113.5</v>
      </c>
      <c r="AE60">
        <v>120.7</v>
      </c>
    </row>
    <row r="61" spans="2:31" x14ac:dyDescent="0.3">
      <c r="B61" t="s">
        <v>33</v>
      </c>
      <c r="C61">
        <v>2014</v>
      </c>
      <c r="D61" t="s">
        <v>41</v>
      </c>
      <c r="E61">
        <v>124.8</v>
      </c>
      <c r="F61">
        <v>127.3</v>
      </c>
      <c r="G61">
        <v>116.5</v>
      </c>
      <c r="H61">
        <v>122.2</v>
      </c>
      <c r="I61">
        <v>103.6</v>
      </c>
      <c r="J61">
        <v>132.69999999999999</v>
      </c>
      <c r="K61">
        <v>181.9</v>
      </c>
      <c r="L61">
        <v>115.2</v>
      </c>
      <c r="M61">
        <v>102.7</v>
      </c>
      <c r="N61">
        <v>122.1</v>
      </c>
      <c r="O61">
        <v>114.4</v>
      </c>
      <c r="P61">
        <v>124.7</v>
      </c>
      <c r="Q61">
        <v>128.9</v>
      </c>
      <c r="R61">
        <v>123</v>
      </c>
      <c r="S61">
        <v>118.6</v>
      </c>
      <c r="T61">
        <v>114.1</v>
      </c>
      <c r="U61">
        <v>117.9</v>
      </c>
      <c r="V61">
        <v>115.5</v>
      </c>
      <c r="W61">
        <v>111.8</v>
      </c>
      <c r="X61">
        <v>115.3</v>
      </c>
      <c r="Y61">
        <v>112.2</v>
      </c>
      <c r="Z61">
        <v>112.5</v>
      </c>
      <c r="AA61">
        <v>112.9</v>
      </c>
      <c r="AB61">
        <v>119.2</v>
      </c>
      <c r="AC61">
        <v>110.5</v>
      </c>
      <c r="AD61">
        <v>113.9</v>
      </c>
      <c r="AE61">
        <v>119.9</v>
      </c>
    </row>
    <row r="62" spans="2:31" x14ac:dyDescent="0.3">
      <c r="B62" t="s">
        <v>34</v>
      </c>
      <c r="C62">
        <v>2014</v>
      </c>
      <c r="D62" t="s">
        <v>41</v>
      </c>
      <c r="E62">
        <v>122.7</v>
      </c>
      <c r="F62">
        <v>124.4</v>
      </c>
      <c r="G62">
        <v>117.3</v>
      </c>
      <c r="H62">
        <v>122</v>
      </c>
      <c r="I62">
        <v>108</v>
      </c>
      <c r="J62">
        <v>131.1</v>
      </c>
      <c r="K62">
        <v>168.2</v>
      </c>
      <c r="L62">
        <v>114.5</v>
      </c>
      <c r="M62">
        <v>104.3</v>
      </c>
      <c r="N62">
        <v>117.1</v>
      </c>
      <c r="O62">
        <v>115.2</v>
      </c>
      <c r="P62">
        <v>123.1</v>
      </c>
      <c r="Q62">
        <v>126.6</v>
      </c>
      <c r="R62">
        <v>119.9</v>
      </c>
      <c r="S62">
        <v>120</v>
      </c>
      <c r="T62">
        <v>116.8</v>
      </c>
      <c r="U62">
        <v>119.6</v>
      </c>
      <c r="V62">
        <v>115.5</v>
      </c>
      <c r="W62">
        <v>114</v>
      </c>
      <c r="X62">
        <v>115.6</v>
      </c>
      <c r="Y62">
        <v>113.3</v>
      </c>
      <c r="Z62">
        <v>112.8</v>
      </c>
      <c r="AA62">
        <v>112.6</v>
      </c>
      <c r="AB62">
        <v>118</v>
      </c>
      <c r="AC62">
        <v>109.9</v>
      </c>
      <c r="AD62">
        <v>113.7</v>
      </c>
      <c r="AE62">
        <v>120.3</v>
      </c>
    </row>
    <row r="63" spans="2:31" x14ac:dyDescent="0.3">
      <c r="B63" t="s">
        <v>30</v>
      </c>
      <c r="C63">
        <v>2014</v>
      </c>
      <c r="D63" t="s">
        <v>42</v>
      </c>
      <c r="E63">
        <v>122.3</v>
      </c>
      <c r="F63">
        <v>122.4</v>
      </c>
      <c r="G63">
        <v>117.8</v>
      </c>
      <c r="H63">
        <v>122.7</v>
      </c>
      <c r="I63">
        <v>110.4</v>
      </c>
      <c r="J63">
        <v>129.80000000000001</v>
      </c>
      <c r="K63">
        <v>158.80000000000001</v>
      </c>
      <c r="L63">
        <v>115</v>
      </c>
      <c r="M63">
        <v>104.7</v>
      </c>
      <c r="N63">
        <v>114.9</v>
      </c>
      <c r="O63">
        <v>116.5</v>
      </c>
      <c r="P63">
        <v>122.6</v>
      </c>
      <c r="Q63">
        <v>125.3</v>
      </c>
      <c r="R63">
        <v>119.5</v>
      </c>
      <c r="S63">
        <v>121.7</v>
      </c>
      <c r="T63">
        <v>119.2</v>
      </c>
      <c r="U63">
        <v>121.3</v>
      </c>
      <c r="V63" t="s">
        <v>32</v>
      </c>
      <c r="W63">
        <v>115.8</v>
      </c>
      <c r="X63">
        <v>116.7</v>
      </c>
      <c r="Y63">
        <v>114.5</v>
      </c>
      <c r="Z63">
        <v>112.8</v>
      </c>
      <c r="AA63">
        <v>112.6</v>
      </c>
      <c r="AB63">
        <v>116.6</v>
      </c>
      <c r="AC63">
        <v>109.1</v>
      </c>
      <c r="AD63">
        <v>113.7</v>
      </c>
      <c r="AE63">
        <v>120.9</v>
      </c>
    </row>
    <row r="64" spans="2:31" x14ac:dyDescent="0.3">
      <c r="B64" t="s">
        <v>33</v>
      </c>
      <c r="C64">
        <v>2014</v>
      </c>
      <c r="D64" t="s">
        <v>42</v>
      </c>
      <c r="E64">
        <v>124.2</v>
      </c>
      <c r="F64">
        <v>125.4</v>
      </c>
      <c r="G64">
        <v>116.4</v>
      </c>
      <c r="H64">
        <v>122.7</v>
      </c>
      <c r="I64">
        <v>103.5</v>
      </c>
      <c r="J64">
        <v>124.5</v>
      </c>
      <c r="K64">
        <v>168.6</v>
      </c>
      <c r="L64">
        <v>116.9</v>
      </c>
      <c r="M64">
        <v>101.9</v>
      </c>
      <c r="N64">
        <v>122.9</v>
      </c>
      <c r="O64">
        <v>114.8</v>
      </c>
      <c r="P64">
        <v>125.2</v>
      </c>
      <c r="Q64">
        <v>126.7</v>
      </c>
      <c r="R64">
        <v>124.3</v>
      </c>
      <c r="S64">
        <v>119.2</v>
      </c>
      <c r="T64">
        <v>114.5</v>
      </c>
      <c r="U64">
        <v>118.4</v>
      </c>
      <c r="V64">
        <v>116.1</v>
      </c>
      <c r="W64">
        <v>111.8</v>
      </c>
      <c r="X64">
        <v>115.5</v>
      </c>
      <c r="Y64">
        <v>112.3</v>
      </c>
      <c r="Z64">
        <v>111.2</v>
      </c>
      <c r="AA64">
        <v>113.4</v>
      </c>
      <c r="AB64">
        <v>120</v>
      </c>
      <c r="AC64">
        <v>110</v>
      </c>
      <c r="AD64">
        <v>113.6</v>
      </c>
      <c r="AE64">
        <v>119.2</v>
      </c>
    </row>
    <row r="65" spans="2:31" x14ac:dyDescent="0.3">
      <c r="B65" t="s">
        <v>34</v>
      </c>
      <c r="C65">
        <v>2014</v>
      </c>
      <c r="D65" t="s">
        <v>42</v>
      </c>
      <c r="E65">
        <v>122.9</v>
      </c>
      <c r="F65">
        <v>123.5</v>
      </c>
      <c r="G65">
        <v>117.3</v>
      </c>
      <c r="H65">
        <v>122.7</v>
      </c>
      <c r="I65">
        <v>107.9</v>
      </c>
      <c r="J65">
        <v>127.3</v>
      </c>
      <c r="K65">
        <v>162.1</v>
      </c>
      <c r="L65">
        <v>115.6</v>
      </c>
      <c r="M65">
        <v>103.8</v>
      </c>
      <c r="N65">
        <v>117.6</v>
      </c>
      <c r="O65">
        <v>115.8</v>
      </c>
      <c r="P65">
        <v>123.8</v>
      </c>
      <c r="Q65">
        <v>125.8</v>
      </c>
      <c r="R65">
        <v>120.8</v>
      </c>
      <c r="S65">
        <v>120.7</v>
      </c>
      <c r="T65">
        <v>117.2</v>
      </c>
      <c r="U65">
        <v>120.1</v>
      </c>
      <c r="V65">
        <v>116.1</v>
      </c>
      <c r="W65">
        <v>114.3</v>
      </c>
      <c r="X65">
        <v>116.1</v>
      </c>
      <c r="Y65">
        <v>113.7</v>
      </c>
      <c r="Z65">
        <v>112</v>
      </c>
      <c r="AA65">
        <v>113.1</v>
      </c>
      <c r="AB65">
        <v>118.6</v>
      </c>
      <c r="AC65">
        <v>109.5</v>
      </c>
      <c r="AD65">
        <v>113.7</v>
      </c>
      <c r="AE65">
        <v>120.1</v>
      </c>
    </row>
    <row r="66" spans="2:31" x14ac:dyDescent="0.3">
      <c r="B66" t="s">
        <v>30</v>
      </c>
      <c r="C66">
        <v>2014</v>
      </c>
      <c r="D66" t="s">
        <v>43</v>
      </c>
      <c r="E66">
        <v>122.6</v>
      </c>
      <c r="F66">
        <v>122.5</v>
      </c>
      <c r="G66">
        <v>118.3</v>
      </c>
      <c r="H66">
        <v>123.2</v>
      </c>
      <c r="I66">
        <v>110.5</v>
      </c>
      <c r="J66">
        <v>128.9</v>
      </c>
      <c r="K66">
        <v>155.30000000000001</v>
      </c>
      <c r="L66">
        <v>115.5</v>
      </c>
      <c r="M66">
        <v>104</v>
      </c>
      <c r="N66">
        <v>115.3</v>
      </c>
      <c r="O66">
        <v>116.8</v>
      </c>
      <c r="P66">
        <v>123.2</v>
      </c>
      <c r="Q66">
        <v>125.1</v>
      </c>
      <c r="R66">
        <v>120</v>
      </c>
      <c r="S66">
        <v>122.7</v>
      </c>
      <c r="T66">
        <v>120.3</v>
      </c>
      <c r="U66">
        <v>122.3</v>
      </c>
      <c r="V66" t="s">
        <v>32</v>
      </c>
      <c r="W66">
        <v>116.4</v>
      </c>
      <c r="X66">
        <v>117.5</v>
      </c>
      <c r="Y66">
        <v>115.3</v>
      </c>
      <c r="Z66">
        <v>112.6</v>
      </c>
      <c r="AA66">
        <v>113</v>
      </c>
      <c r="AB66">
        <v>116.9</v>
      </c>
      <c r="AC66">
        <v>109.3</v>
      </c>
      <c r="AD66">
        <v>114</v>
      </c>
      <c r="AE66">
        <v>121</v>
      </c>
    </row>
    <row r="67" spans="2:31" x14ac:dyDescent="0.3">
      <c r="B67" t="s">
        <v>33</v>
      </c>
      <c r="C67">
        <v>2014</v>
      </c>
      <c r="D67" t="s">
        <v>43</v>
      </c>
      <c r="E67">
        <v>124.6</v>
      </c>
      <c r="F67">
        <v>126.1</v>
      </c>
      <c r="G67">
        <v>117.8</v>
      </c>
      <c r="H67">
        <v>123.1</v>
      </c>
      <c r="I67">
        <v>103.5</v>
      </c>
      <c r="J67">
        <v>123.5</v>
      </c>
      <c r="K67">
        <v>159.6</v>
      </c>
      <c r="L67">
        <v>117.4</v>
      </c>
      <c r="M67">
        <v>101.2</v>
      </c>
      <c r="N67">
        <v>123.8</v>
      </c>
      <c r="O67">
        <v>115.2</v>
      </c>
      <c r="P67">
        <v>125.9</v>
      </c>
      <c r="Q67">
        <v>125.8</v>
      </c>
      <c r="R67">
        <v>124.3</v>
      </c>
      <c r="S67">
        <v>119.6</v>
      </c>
      <c r="T67">
        <v>114.9</v>
      </c>
      <c r="U67">
        <v>118.9</v>
      </c>
      <c r="V67">
        <v>116.7</v>
      </c>
      <c r="W67">
        <v>112</v>
      </c>
      <c r="X67">
        <v>115.8</v>
      </c>
      <c r="Y67">
        <v>112.6</v>
      </c>
      <c r="Z67">
        <v>111</v>
      </c>
      <c r="AA67">
        <v>113.6</v>
      </c>
      <c r="AB67">
        <v>120.2</v>
      </c>
      <c r="AC67">
        <v>110.1</v>
      </c>
      <c r="AD67">
        <v>113.7</v>
      </c>
      <c r="AE67">
        <v>119.1</v>
      </c>
    </row>
    <row r="68" spans="2:31" x14ac:dyDescent="0.3">
      <c r="B68" t="s">
        <v>34</v>
      </c>
      <c r="C68">
        <v>2014</v>
      </c>
      <c r="D68" t="s">
        <v>43</v>
      </c>
      <c r="E68">
        <v>123.2</v>
      </c>
      <c r="F68">
        <v>123.8</v>
      </c>
      <c r="G68">
        <v>118.1</v>
      </c>
      <c r="H68">
        <v>123.2</v>
      </c>
      <c r="I68">
        <v>107.9</v>
      </c>
      <c r="J68">
        <v>126.4</v>
      </c>
      <c r="K68">
        <v>156.80000000000001</v>
      </c>
      <c r="L68">
        <v>116.1</v>
      </c>
      <c r="M68">
        <v>103.1</v>
      </c>
      <c r="N68">
        <v>118.1</v>
      </c>
      <c r="O68">
        <v>116.1</v>
      </c>
      <c r="P68">
        <v>124.5</v>
      </c>
      <c r="Q68">
        <v>125.4</v>
      </c>
      <c r="R68">
        <v>121.1</v>
      </c>
      <c r="S68">
        <v>121.5</v>
      </c>
      <c r="T68">
        <v>118.1</v>
      </c>
      <c r="U68">
        <v>121</v>
      </c>
      <c r="V68">
        <v>116.7</v>
      </c>
      <c r="W68">
        <v>114.7</v>
      </c>
      <c r="X68">
        <v>116.7</v>
      </c>
      <c r="Y68">
        <v>114.3</v>
      </c>
      <c r="Z68">
        <v>111.8</v>
      </c>
      <c r="AA68">
        <v>113.3</v>
      </c>
      <c r="AB68">
        <v>118.8</v>
      </c>
      <c r="AC68">
        <v>109.6</v>
      </c>
      <c r="AD68">
        <v>113.9</v>
      </c>
      <c r="AE68">
        <v>120.1</v>
      </c>
    </row>
    <row r="69" spans="2:31" x14ac:dyDescent="0.3">
      <c r="B69" t="s">
        <v>30</v>
      </c>
      <c r="C69">
        <v>2014</v>
      </c>
      <c r="D69" t="s">
        <v>45</v>
      </c>
      <c r="E69">
        <v>122.7</v>
      </c>
      <c r="F69">
        <v>122.6</v>
      </c>
      <c r="G69">
        <v>119.9</v>
      </c>
      <c r="H69">
        <v>124</v>
      </c>
      <c r="I69">
        <v>110.5</v>
      </c>
      <c r="J69">
        <v>128.80000000000001</v>
      </c>
      <c r="K69">
        <v>152</v>
      </c>
      <c r="L69">
        <v>116.2</v>
      </c>
      <c r="M69">
        <v>103.3</v>
      </c>
      <c r="N69">
        <v>115.8</v>
      </c>
      <c r="O69">
        <v>116.8</v>
      </c>
      <c r="P69">
        <v>124.5</v>
      </c>
      <c r="Q69">
        <v>124.9</v>
      </c>
      <c r="R69">
        <v>120.8</v>
      </c>
      <c r="S69">
        <v>123.3</v>
      </c>
      <c r="T69">
        <v>120.5</v>
      </c>
      <c r="U69">
        <v>122.9</v>
      </c>
      <c r="V69" t="s">
        <v>32</v>
      </c>
      <c r="W69">
        <v>117.3</v>
      </c>
      <c r="X69">
        <v>118.1</v>
      </c>
      <c r="Y69">
        <v>115.9</v>
      </c>
      <c r="Z69">
        <v>112</v>
      </c>
      <c r="AA69">
        <v>113.3</v>
      </c>
      <c r="AB69">
        <v>117.2</v>
      </c>
      <c r="AC69">
        <v>108.8</v>
      </c>
      <c r="AD69">
        <v>114.1</v>
      </c>
      <c r="AE69">
        <v>121.1</v>
      </c>
    </row>
    <row r="70" spans="2:31" x14ac:dyDescent="0.3">
      <c r="B70" t="s">
        <v>33</v>
      </c>
      <c r="C70">
        <v>2014</v>
      </c>
      <c r="D70" t="s">
        <v>45</v>
      </c>
      <c r="E70">
        <v>124.5</v>
      </c>
      <c r="F70">
        <v>125.6</v>
      </c>
      <c r="G70">
        <v>122.7</v>
      </c>
      <c r="H70">
        <v>124.6</v>
      </c>
      <c r="I70">
        <v>103.2</v>
      </c>
      <c r="J70">
        <v>122.2</v>
      </c>
      <c r="K70">
        <v>153.19999999999999</v>
      </c>
      <c r="L70">
        <v>119.3</v>
      </c>
      <c r="M70">
        <v>99.8</v>
      </c>
      <c r="N70">
        <v>124.6</v>
      </c>
      <c r="O70">
        <v>115.8</v>
      </c>
      <c r="P70">
        <v>126.9</v>
      </c>
      <c r="Q70">
        <v>125.4</v>
      </c>
      <c r="R70">
        <v>125.8</v>
      </c>
      <c r="S70">
        <v>120.3</v>
      </c>
      <c r="T70">
        <v>115.4</v>
      </c>
      <c r="U70">
        <v>119.5</v>
      </c>
      <c r="V70">
        <v>117.1</v>
      </c>
      <c r="W70">
        <v>112.6</v>
      </c>
      <c r="X70">
        <v>116.4</v>
      </c>
      <c r="Y70">
        <v>113</v>
      </c>
      <c r="Z70">
        <v>109.7</v>
      </c>
      <c r="AA70">
        <v>114</v>
      </c>
      <c r="AB70">
        <v>120.3</v>
      </c>
      <c r="AC70">
        <v>109.6</v>
      </c>
      <c r="AD70">
        <v>113.4</v>
      </c>
      <c r="AE70">
        <v>119</v>
      </c>
    </row>
    <row r="71" spans="2:31" x14ac:dyDescent="0.3">
      <c r="B71" t="s">
        <v>34</v>
      </c>
      <c r="C71">
        <v>2014</v>
      </c>
      <c r="D71" t="s">
        <v>45</v>
      </c>
      <c r="E71">
        <v>123.3</v>
      </c>
      <c r="F71">
        <v>123.7</v>
      </c>
      <c r="G71">
        <v>121</v>
      </c>
      <c r="H71">
        <v>124.2</v>
      </c>
      <c r="I71">
        <v>107.8</v>
      </c>
      <c r="J71">
        <v>125.7</v>
      </c>
      <c r="K71">
        <v>152.4</v>
      </c>
      <c r="L71">
        <v>117.2</v>
      </c>
      <c r="M71">
        <v>102.1</v>
      </c>
      <c r="N71">
        <v>118.7</v>
      </c>
      <c r="O71">
        <v>116.4</v>
      </c>
      <c r="P71">
        <v>125.6</v>
      </c>
      <c r="Q71">
        <v>125.1</v>
      </c>
      <c r="R71">
        <v>122.1</v>
      </c>
      <c r="S71">
        <v>122.1</v>
      </c>
      <c r="T71">
        <v>118.4</v>
      </c>
      <c r="U71">
        <v>121.6</v>
      </c>
      <c r="V71">
        <v>117.1</v>
      </c>
      <c r="W71">
        <v>115.5</v>
      </c>
      <c r="X71">
        <v>117.3</v>
      </c>
      <c r="Y71">
        <v>114.8</v>
      </c>
      <c r="Z71">
        <v>110.8</v>
      </c>
      <c r="AA71">
        <v>113.7</v>
      </c>
      <c r="AB71">
        <v>119</v>
      </c>
      <c r="AC71">
        <v>109.1</v>
      </c>
      <c r="AD71">
        <v>113.8</v>
      </c>
      <c r="AE71">
        <v>120.1</v>
      </c>
    </row>
    <row r="72" spans="2:31" x14ac:dyDescent="0.3">
      <c r="B72" t="s">
        <v>30</v>
      </c>
      <c r="C72">
        <v>2014</v>
      </c>
      <c r="D72" t="s">
        <v>46</v>
      </c>
      <c r="E72">
        <v>122.4</v>
      </c>
      <c r="F72">
        <v>122.4</v>
      </c>
      <c r="G72">
        <v>121.8</v>
      </c>
      <c r="H72">
        <v>124.2</v>
      </c>
      <c r="I72">
        <v>110.2</v>
      </c>
      <c r="J72">
        <v>128.6</v>
      </c>
      <c r="K72">
        <v>140.30000000000001</v>
      </c>
      <c r="L72">
        <v>116.3</v>
      </c>
      <c r="M72">
        <v>102</v>
      </c>
      <c r="N72">
        <v>116</v>
      </c>
      <c r="O72">
        <v>117.3</v>
      </c>
      <c r="P72">
        <v>124.8</v>
      </c>
      <c r="Q72">
        <v>123.3</v>
      </c>
      <c r="R72">
        <v>121.7</v>
      </c>
      <c r="S72">
        <v>123.8</v>
      </c>
      <c r="T72">
        <v>120.6</v>
      </c>
      <c r="U72">
        <v>123.3</v>
      </c>
      <c r="V72" t="s">
        <v>32</v>
      </c>
      <c r="W72">
        <v>117.4</v>
      </c>
      <c r="X72">
        <v>118.2</v>
      </c>
      <c r="Y72">
        <v>116.2</v>
      </c>
      <c r="Z72">
        <v>111.5</v>
      </c>
      <c r="AA72">
        <v>113.3</v>
      </c>
      <c r="AB72">
        <v>117.7</v>
      </c>
      <c r="AC72">
        <v>109.4</v>
      </c>
      <c r="AD72">
        <v>114.2</v>
      </c>
      <c r="AE72">
        <v>120.3</v>
      </c>
    </row>
    <row r="73" spans="2:31" x14ac:dyDescent="0.3">
      <c r="B73" t="s">
        <v>33</v>
      </c>
      <c r="C73">
        <v>2014</v>
      </c>
      <c r="D73" t="s">
        <v>46</v>
      </c>
      <c r="E73">
        <v>124</v>
      </c>
      <c r="F73">
        <v>124.7</v>
      </c>
      <c r="G73">
        <v>126.3</v>
      </c>
      <c r="H73">
        <v>124.9</v>
      </c>
      <c r="I73">
        <v>103</v>
      </c>
      <c r="J73">
        <v>122.3</v>
      </c>
      <c r="K73">
        <v>141</v>
      </c>
      <c r="L73">
        <v>120.1</v>
      </c>
      <c r="M73">
        <v>97.8</v>
      </c>
      <c r="N73">
        <v>125.4</v>
      </c>
      <c r="O73">
        <v>116.1</v>
      </c>
      <c r="P73">
        <v>127.6</v>
      </c>
      <c r="Q73">
        <v>124</v>
      </c>
      <c r="R73">
        <v>126.4</v>
      </c>
      <c r="S73">
        <v>120.7</v>
      </c>
      <c r="T73">
        <v>115.8</v>
      </c>
      <c r="U73">
        <v>120</v>
      </c>
      <c r="V73">
        <v>116.5</v>
      </c>
      <c r="W73">
        <v>113</v>
      </c>
      <c r="X73">
        <v>116.8</v>
      </c>
      <c r="Y73">
        <v>113.2</v>
      </c>
      <c r="Z73">
        <v>108.8</v>
      </c>
      <c r="AA73">
        <v>114.3</v>
      </c>
      <c r="AB73">
        <v>120.7</v>
      </c>
      <c r="AC73">
        <v>110.4</v>
      </c>
      <c r="AD73">
        <v>113.4</v>
      </c>
      <c r="AE73">
        <v>118.4</v>
      </c>
    </row>
    <row r="74" spans="2:31" x14ac:dyDescent="0.3">
      <c r="B74" t="s">
        <v>34</v>
      </c>
      <c r="C74">
        <v>2014</v>
      </c>
      <c r="D74" t="s">
        <v>46</v>
      </c>
      <c r="E74">
        <v>122.9</v>
      </c>
      <c r="F74">
        <v>123.2</v>
      </c>
      <c r="G74">
        <v>123.5</v>
      </c>
      <c r="H74">
        <v>124.5</v>
      </c>
      <c r="I74">
        <v>107.6</v>
      </c>
      <c r="J74">
        <v>125.7</v>
      </c>
      <c r="K74">
        <v>140.5</v>
      </c>
      <c r="L74">
        <v>117.6</v>
      </c>
      <c r="M74">
        <v>100.6</v>
      </c>
      <c r="N74">
        <v>119.1</v>
      </c>
      <c r="O74">
        <v>116.8</v>
      </c>
      <c r="P74">
        <v>126.1</v>
      </c>
      <c r="Q74">
        <v>123.6</v>
      </c>
      <c r="R74">
        <v>123</v>
      </c>
      <c r="S74">
        <v>122.6</v>
      </c>
      <c r="T74">
        <v>118.6</v>
      </c>
      <c r="U74">
        <v>122</v>
      </c>
      <c r="V74">
        <v>116.5</v>
      </c>
      <c r="W74">
        <v>115.7</v>
      </c>
      <c r="X74">
        <v>117.5</v>
      </c>
      <c r="Y74">
        <v>115.1</v>
      </c>
      <c r="Z74">
        <v>110.1</v>
      </c>
      <c r="AA74">
        <v>113.9</v>
      </c>
      <c r="AB74">
        <v>119.5</v>
      </c>
      <c r="AC74">
        <v>109.8</v>
      </c>
      <c r="AD74">
        <v>113.8</v>
      </c>
      <c r="AE74">
        <v>119.4</v>
      </c>
    </row>
    <row r="75" spans="2:31" x14ac:dyDescent="0.3">
      <c r="B75" t="s">
        <v>30</v>
      </c>
      <c r="C75">
        <v>2015</v>
      </c>
      <c r="D75" t="s">
        <v>31</v>
      </c>
      <c r="E75">
        <v>123.1</v>
      </c>
      <c r="F75">
        <v>123.1</v>
      </c>
      <c r="G75">
        <v>122.1</v>
      </c>
      <c r="H75">
        <v>124.9</v>
      </c>
      <c r="I75">
        <v>111</v>
      </c>
      <c r="J75">
        <v>130.4</v>
      </c>
      <c r="K75">
        <v>132.30000000000001</v>
      </c>
      <c r="L75">
        <v>117.2</v>
      </c>
      <c r="M75">
        <v>100.5</v>
      </c>
      <c r="N75">
        <v>117.2</v>
      </c>
      <c r="O75">
        <v>117.9</v>
      </c>
      <c r="P75">
        <v>125.6</v>
      </c>
      <c r="Q75">
        <v>122.8</v>
      </c>
      <c r="R75">
        <v>122.7</v>
      </c>
      <c r="S75">
        <v>124.4</v>
      </c>
      <c r="T75">
        <v>121.6</v>
      </c>
      <c r="U75">
        <v>124</v>
      </c>
      <c r="V75" t="s">
        <v>32</v>
      </c>
      <c r="W75">
        <v>118.4</v>
      </c>
      <c r="X75">
        <v>118.9</v>
      </c>
      <c r="Y75">
        <v>116.6</v>
      </c>
      <c r="Z75">
        <v>111</v>
      </c>
      <c r="AA75">
        <v>114</v>
      </c>
      <c r="AB75">
        <v>118.2</v>
      </c>
      <c r="AC75">
        <v>110.2</v>
      </c>
      <c r="AD75">
        <v>114.5</v>
      </c>
      <c r="AE75">
        <v>120.3</v>
      </c>
    </row>
    <row r="76" spans="2:31" x14ac:dyDescent="0.3">
      <c r="B76" t="s">
        <v>33</v>
      </c>
      <c r="C76">
        <v>2015</v>
      </c>
      <c r="D76" t="s">
        <v>31</v>
      </c>
      <c r="E76">
        <v>124</v>
      </c>
      <c r="F76">
        <v>125.5</v>
      </c>
      <c r="G76">
        <v>126.6</v>
      </c>
      <c r="H76">
        <v>125.2</v>
      </c>
      <c r="I76">
        <v>104.3</v>
      </c>
      <c r="J76">
        <v>121.3</v>
      </c>
      <c r="K76">
        <v>134.4</v>
      </c>
      <c r="L76">
        <v>122.9</v>
      </c>
      <c r="M76">
        <v>96.1</v>
      </c>
      <c r="N76">
        <v>126.6</v>
      </c>
      <c r="O76">
        <v>116.5</v>
      </c>
      <c r="P76">
        <v>128</v>
      </c>
      <c r="Q76">
        <v>123.5</v>
      </c>
      <c r="R76">
        <v>127.4</v>
      </c>
      <c r="S76">
        <v>121</v>
      </c>
      <c r="T76">
        <v>116.1</v>
      </c>
      <c r="U76">
        <v>120.2</v>
      </c>
      <c r="V76">
        <v>117.3</v>
      </c>
      <c r="W76">
        <v>113.4</v>
      </c>
      <c r="X76">
        <v>117.2</v>
      </c>
      <c r="Y76">
        <v>113.7</v>
      </c>
      <c r="Z76">
        <v>107.9</v>
      </c>
      <c r="AA76">
        <v>114.6</v>
      </c>
      <c r="AB76">
        <v>120.8</v>
      </c>
      <c r="AC76">
        <v>111.4</v>
      </c>
      <c r="AD76">
        <v>113.4</v>
      </c>
      <c r="AE76">
        <v>118.5</v>
      </c>
    </row>
    <row r="77" spans="2:31" x14ac:dyDescent="0.3">
      <c r="B77" t="s">
        <v>34</v>
      </c>
      <c r="C77">
        <v>2015</v>
      </c>
      <c r="D77" t="s">
        <v>31</v>
      </c>
      <c r="E77">
        <v>123.4</v>
      </c>
      <c r="F77">
        <v>123.9</v>
      </c>
      <c r="G77">
        <v>123.8</v>
      </c>
      <c r="H77">
        <v>125</v>
      </c>
      <c r="I77">
        <v>108.5</v>
      </c>
      <c r="J77">
        <v>126.2</v>
      </c>
      <c r="K77">
        <v>133</v>
      </c>
      <c r="L77">
        <v>119.1</v>
      </c>
      <c r="M77">
        <v>99</v>
      </c>
      <c r="N77">
        <v>120.3</v>
      </c>
      <c r="O77">
        <v>117.3</v>
      </c>
      <c r="P77">
        <v>126.7</v>
      </c>
      <c r="Q77">
        <v>123.1</v>
      </c>
      <c r="R77">
        <v>124</v>
      </c>
      <c r="S77">
        <v>123.1</v>
      </c>
      <c r="T77">
        <v>119.3</v>
      </c>
      <c r="U77">
        <v>122.5</v>
      </c>
      <c r="V77">
        <v>117.3</v>
      </c>
      <c r="W77">
        <v>116.5</v>
      </c>
      <c r="X77">
        <v>118.1</v>
      </c>
      <c r="Y77">
        <v>115.5</v>
      </c>
      <c r="Z77">
        <v>109.4</v>
      </c>
      <c r="AA77">
        <v>114.3</v>
      </c>
      <c r="AB77">
        <v>119.7</v>
      </c>
      <c r="AC77">
        <v>110.7</v>
      </c>
      <c r="AD77">
        <v>114</v>
      </c>
      <c r="AE77">
        <v>119.5</v>
      </c>
    </row>
    <row r="78" spans="2:31" x14ac:dyDescent="0.3">
      <c r="B78" t="s">
        <v>30</v>
      </c>
      <c r="C78">
        <v>2015</v>
      </c>
      <c r="D78" t="s">
        <v>35</v>
      </c>
      <c r="E78">
        <v>123.4</v>
      </c>
      <c r="F78">
        <v>124.4</v>
      </c>
      <c r="G78">
        <v>122.1</v>
      </c>
      <c r="H78">
        <v>125.8</v>
      </c>
      <c r="I78">
        <v>111.5</v>
      </c>
      <c r="J78">
        <v>129.4</v>
      </c>
      <c r="K78">
        <v>128.19999999999999</v>
      </c>
      <c r="L78">
        <v>118.8</v>
      </c>
      <c r="M78">
        <v>100</v>
      </c>
      <c r="N78">
        <v>118.6</v>
      </c>
      <c r="O78">
        <v>118.8</v>
      </c>
      <c r="P78">
        <v>126.8</v>
      </c>
      <c r="Q78">
        <v>122.8</v>
      </c>
      <c r="R78">
        <v>124.2</v>
      </c>
      <c r="S78">
        <v>125.4</v>
      </c>
      <c r="T78">
        <v>122.7</v>
      </c>
      <c r="U78">
        <v>125</v>
      </c>
      <c r="V78" t="s">
        <v>32</v>
      </c>
      <c r="W78">
        <v>120</v>
      </c>
      <c r="X78">
        <v>119.6</v>
      </c>
      <c r="Y78">
        <v>117.7</v>
      </c>
      <c r="Z78">
        <v>110.9</v>
      </c>
      <c r="AA78">
        <v>114.8</v>
      </c>
      <c r="AB78">
        <v>118.7</v>
      </c>
      <c r="AC78">
        <v>110.8</v>
      </c>
      <c r="AD78">
        <v>115</v>
      </c>
      <c r="AE78">
        <v>120.6</v>
      </c>
    </row>
    <row r="79" spans="2:31" x14ac:dyDescent="0.3">
      <c r="B79" t="s">
        <v>33</v>
      </c>
      <c r="C79">
        <v>2015</v>
      </c>
      <c r="D79" t="s">
        <v>35</v>
      </c>
      <c r="E79">
        <v>124.3</v>
      </c>
      <c r="F79">
        <v>126.5</v>
      </c>
      <c r="G79">
        <v>119.5</v>
      </c>
      <c r="H79">
        <v>125.6</v>
      </c>
      <c r="I79">
        <v>104.9</v>
      </c>
      <c r="J79">
        <v>121.6</v>
      </c>
      <c r="K79">
        <v>131.80000000000001</v>
      </c>
      <c r="L79">
        <v>125.1</v>
      </c>
      <c r="M79">
        <v>95</v>
      </c>
      <c r="N79">
        <v>127.7</v>
      </c>
      <c r="O79">
        <v>116.8</v>
      </c>
      <c r="P79">
        <v>128.6</v>
      </c>
      <c r="Q79">
        <v>123.7</v>
      </c>
      <c r="R79">
        <v>128.1</v>
      </c>
      <c r="S79">
        <v>121.3</v>
      </c>
      <c r="T79">
        <v>116.5</v>
      </c>
      <c r="U79">
        <v>120.6</v>
      </c>
      <c r="V79">
        <v>118.1</v>
      </c>
      <c r="W79">
        <v>114</v>
      </c>
      <c r="X79">
        <v>117.7</v>
      </c>
      <c r="Y79">
        <v>114.1</v>
      </c>
      <c r="Z79">
        <v>106.8</v>
      </c>
      <c r="AA79">
        <v>114.9</v>
      </c>
      <c r="AB79">
        <v>120.4</v>
      </c>
      <c r="AC79">
        <v>111.7</v>
      </c>
      <c r="AD79">
        <v>113.2</v>
      </c>
      <c r="AE79">
        <v>118.7</v>
      </c>
    </row>
    <row r="80" spans="2:31" x14ac:dyDescent="0.3">
      <c r="B80" t="s">
        <v>34</v>
      </c>
      <c r="C80">
        <v>2015</v>
      </c>
      <c r="D80" t="s">
        <v>35</v>
      </c>
      <c r="E80">
        <v>123.7</v>
      </c>
      <c r="F80">
        <v>125.1</v>
      </c>
      <c r="G80">
        <v>121.1</v>
      </c>
      <c r="H80">
        <v>125.7</v>
      </c>
      <c r="I80">
        <v>109.1</v>
      </c>
      <c r="J80">
        <v>125.8</v>
      </c>
      <c r="K80">
        <v>129.4</v>
      </c>
      <c r="L80">
        <v>120.9</v>
      </c>
      <c r="M80">
        <v>98.3</v>
      </c>
      <c r="N80">
        <v>121.6</v>
      </c>
      <c r="O80">
        <v>118</v>
      </c>
      <c r="P80">
        <v>127.6</v>
      </c>
      <c r="Q80">
        <v>123.1</v>
      </c>
      <c r="R80">
        <v>125.2</v>
      </c>
      <c r="S80">
        <v>123.8</v>
      </c>
      <c r="T80">
        <v>120.1</v>
      </c>
      <c r="U80">
        <v>123.3</v>
      </c>
      <c r="V80">
        <v>118.1</v>
      </c>
      <c r="W80">
        <v>117.7</v>
      </c>
      <c r="X80">
        <v>118.7</v>
      </c>
      <c r="Y80">
        <v>116.3</v>
      </c>
      <c r="Z80">
        <v>108.7</v>
      </c>
      <c r="AA80">
        <v>114.9</v>
      </c>
      <c r="AB80">
        <v>119.7</v>
      </c>
      <c r="AC80">
        <v>111.2</v>
      </c>
      <c r="AD80">
        <v>114.1</v>
      </c>
      <c r="AE80">
        <v>119.7</v>
      </c>
    </row>
    <row r="81" spans="2:31" x14ac:dyDescent="0.3">
      <c r="B81" t="s">
        <v>30</v>
      </c>
      <c r="C81">
        <v>2015</v>
      </c>
      <c r="D81" t="s">
        <v>36</v>
      </c>
      <c r="E81">
        <v>123.3</v>
      </c>
      <c r="F81">
        <v>124.7</v>
      </c>
      <c r="G81">
        <v>118.9</v>
      </c>
      <c r="H81">
        <v>126</v>
      </c>
      <c r="I81">
        <v>111.8</v>
      </c>
      <c r="J81">
        <v>130.9</v>
      </c>
      <c r="K81">
        <v>128</v>
      </c>
      <c r="L81">
        <v>119.9</v>
      </c>
      <c r="M81">
        <v>98.9</v>
      </c>
      <c r="N81">
        <v>119.4</v>
      </c>
      <c r="O81">
        <v>118.9</v>
      </c>
      <c r="P81">
        <v>127.7</v>
      </c>
      <c r="Q81">
        <v>123.1</v>
      </c>
      <c r="R81">
        <v>124.7</v>
      </c>
      <c r="S81">
        <v>126</v>
      </c>
      <c r="T81">
        <v>122.9</v>
      </c>
      <c r="U81">
        <v>125.5</v>
      </c>
      <c r="V81" t="s">
        <v>32</v>
      </c>
      <c r="W81">
        <v>120.6</v>
      </c>
      <c r="X81">
        <v>120.2</v>
      </c>
      <c r="Y81">
        <v>118.2</v>
      </c>
      <c r="Z81">
        <v>111.6</v>
      </c>
      <c r="AA81">
        <v>115.5</v>
      </c>
      <c r="AB81">
        <v>119.4</v>
      </c>
      <c r="AC81">
        <v>110.8</v>
      </c>
      <c r="AD81">
        <v>115.5</v>
      </c>
      <c r="AE81">
        <v>121.1</v>
      </c>
    </row>
    <row r="82" spans="2:31" x14ac:dyDescent="0.3">
      <c r="B82" t="s">
        <v>33</v>
      </c>
      <c r="C82">
        <v>2015</v>
      </c>
      <c r="D82" t="s">
        <v>36</v>
      </c>
      <c r="E82">
        <v>124</v>
      </c>
      <c r="F82">
        <v>126.7</v>
      </c>
      <c r="G82">
        <v>113.5</v>
      </c>
      <c r="H82">
        <v>125.9</v>
      </c>
      <c r="I82">
        <v>104.8</v>
      </c>
      <c r="J82">
        <v>123.8</v>
      </c>
      <c r="K82">
        <v>131.4</v>
      </c>
      <c r="L82">
        <v>127.2</v>
      </c>
      <c r="M82">
        <v>93.2</v>
      </c>
      <c r="N82">
        <v>127.4</v>
      </c>
      <c r="O82">
        <v>117</v>
      </c>
      <c r="P82">
        <v>129.19999999999999</v>
      </c>
      <c r="Q82">
        <v>123.9</v>
      </c>
      <c r="R82">
        <v>128.80000000000001</v>
      </c>
      <c r="S82">
        <v>121.7</v>
      </c>
      <c r="T82">
        <v>116.9</v>
      </c>
      <c r="U82">
        <v>120.9</v>
      </c>
      <c r="V82">
        <v>118.6</v>
      </c>
      <c r="W82">
        <v>114.4</v>
      </c>
      <c r="X82">
        <v>118</v>
      </c>
      <c r="Y82">
        <v>114.3</v>
      </c>
      <c r="Z82">
        <v>108.4</v>
      </c>
      <c r="AA82">
        <v>115.4</v>
      </c>
      <c r="AB82">
        <v>120.6</v>
      </c>
      <c r="AC82">
        <v>111.3</v>
      </c>
      <c r="AD82">
        <v>113.8</v>
      </c>
      <c r="AE82">
        <v>119.1</v>
      </c>
    </row>
    <row r="83" spans="2:31" x14ac:dyDescent="0.3">
      <c r="B83" t="s">
        <v>34</v>
      </c>
      <c r="C83">
        <v>2015</v>
      </c>
      <c r="D83" t="s">
        <v>36</v>
      </c>
      <c r="E83">
        <v>123.5</v>
      </c>
      <c r="F83">
        <v>125.4</v>
      </c>
      <c r="G83">
        <v>116.8</v>
      </c>
      <c r="H83">
        <v>126</v>
      </c>
      <c r="I83">
        <v>109.2</v>
      </c>
      <c r="J83">
        <v>127.6</v>
      </c>
      <c r="K83">
        <v>129.19999999999999</v>
      </c>
      <c r="L83">
        <v>122.4</v>
      </c>
      <c r="M83">
        <v>97</v>
      </c>
      <c r="N83">
        <v>122.1</v>
      </c>
      <c r="O83">
        <v>118.1</v>
      </c>
      <c r="P83">
        <v>128.4</v>
      </c>
      <c r="Q83">
        <v>123.4</v>
      </c>
      <c r="R83">
        <v>125.8</v>
      </c>
      <c r="S83">
        <v>124.3</v>
      </c>
      <c r="T83">
        <v>120.4</v>
      </c>
      <c r="U83">
        <v>123.7</v>
      </c>
      <c r="V83">
        <v>118.6</v>
      </c>
      <c r="W83">
        <v>118.3</v>
      </c>
      <c r="X83">
        <v>119.2</v>
      </c>
      <c r="Y83">
        <v>116.7</v>
      </c>
      <c r="Z83">
        <v>109.9</v>
      </c>
      <c r="AA83">
        <v>115.4</v>
      </c>
      <c r="AB83">
        <v>120.1</v>
      </c>
      <c r="AC83">
        <v>111</v>
      </c>
      <c r="AD83">
        <v>114.7</v>
      </c>
      <c r="AE83">
        <v>120.2</v>
      </c>
    </row>
    <row r="84" spans="2:31" x14ac:dyDescent="0.3">
      <c r="B84" t="s">
        <v>30</v>
      </c>
      <c r="C84">
        <v>2015</v>
      </c>
      <c r="D84" t="s">
        <v>37</v>
      </c>
      <c r="E84">
        <v>123.3</v>
      </c>
      <c r="F84">
        <v>125.5</v>
      </c>
      <c r="G84">
        <v>117.2</v>
      </c>
      <c r="H84">
        <v>126.8</v>
      </c>
      <c r="I84">
        <v>111.9</v>
      </c>
      <c r="J84">
        <v>134.19999999999999</v>
      </c>
      <c r="K84">
        <v>127.5</v>
      </c>
      <c r="L84">
        <v>121.5</v>
      </c>
      <c r="M84">
        <v>97.8</v>
      </c>
      <c r="N84">
        <v>119.8</v>
      </c>
      <c r="O84">
        <v>119.4</v>
      </c>
      <c r="P84">
        <v>128.69999999999999</v>
      </c>
      <c r="Q84">
        <v>123.6</v>
      </c>
      <c r="R84">
        <v>125.7</v>
      </c>
      <c r="S84">
        <v>126.4</v>
      </c>
      <c r="T84">
        <v>123.3</v>
      </c>
      <c r="U84">
        <v>126</v>
      </c>
      <c r="V84" t="s">
        <v>32</v>
      </c>
      <c r="W84">
        <v>121.2</v>
      </c>
      <c r="X84">
        <v>120.9</v>
      </c>
      <c r="Y84">
        <v>118.6</v>
      </c>
      <c r="Z84">
        <v>111.9</v>
      </c>
      <c r="AA84">
        <v>116.2</v>
      </c>
      <c r="AB84">
        <v>119.9</v>
      </c>
      <c r="AC84">
        <v>111.6</v>
      </c>
      <c r="AD84">
        <v>116</v>
      </c>
      <c r="AE84">
        <v>121.5</v>
      </c>
    </row>
    <row r="85" spans="2:31" x14ac:dyDescent="0.3">
      <c r="B85" t="s">
        <v>33</v>
      </c>
      <c r="C85">
        <v>2015</v>
      </c>
      <c r="D85" t="s">
        <v>37</v>
      </c>
      <c r="E85">
        <v>123.8</v>
      </c>
      <c r="F85">
        <v>128.19999999999999</v>
      </c>
      <c r="G85">
        <v>110</v>
      </c>
      <c r="H85">
        <v>126.3</v>
      </c>
      <c r="I85">
        <v>104.5</v>
      </c>
      <c r="J85">
        <v>130.6</v>
      </c>
      <c r="K85">
        <v>130.80000000000001</v>
      </c>
      <c r="L85">
        <v>131.30000000000001</v>
      </c>
      <c r="M85">
        <v>91.6</v>
      </c>
      <c r="N85">
        <v>127.7</v>
      </c>
      <c r="O85">
        <v>117.2</v>
      </c>
      <c r="P85">
        <v>129.5</v>
      </c>
      <c r="Q85">
        <v>124.6</v>
      </c>
      <c r="R85">
        <v>130.1</v>
      </c>
      <c r="S85">
        <v>122.1</v>
      </c>
      <c r="T85">
        <v>117.2</v>
      </c>
      <c r="U85">
        <v>121.3</v>
      </c>
      <c r="V85">
        <v>119.2</v>
      </c>
      <c r="W85">
        <v>114.7</v>
      </c>
      <c r="X85">
        <v>118.4</v>
      </c>
      <c r="Y85">
        <v>114.6</v>
      </c>
      <c r="Z85">
        <v>108.4</v>
      </c>
      <c r="AA85">
        <v>115.6</v>
      </c>
      <c r="AB85">
        <v>121.7</v>
      </c>
      <c r="AC85">
        <v>111.8</v>
      </c>
      <c r="AD85">
        <v>114.2</v>
      </c>
      <c r="AE85">
        <v>119.7</v>
      </c>
    </row>
    <row r="86" spans="2:31" x14ac:dyDescent="0.3">
      <c r="B86" t="s">
        <v>34</v>
      </c>
      <c r="C86">
        <v>2015</v>
      </c>
      <c r="D86" t="s">
        <v>37</v>
      </c>
      <c r="E86">
        <v>123.5</v>
      </c>
      <c r="F86">
        <v>126.4</v>
      </c>
      <c r="G86">
        <v>114.4</v>
      </c>
      <c r="H86">
        <v>126.6</v>
      </c>
      <c r="I86">
        <v>109.2</v>
      </c>
      <c r="J86">
        <v>132.5</v>
      </c>
      <c r="K86">
        <v>128.6</v>
      </c>
      <c r="L86">
        <v>124.8</v>
      </c>
      <c r="M86">
        <v>95.7</v>
      </c>
      <c r="N86">
        <v>122.4</v>
      </c>
      <c r="O86">
        <v>118.5</v>
      </c>
      <c r="P86">
        <v>129.1</v>
      </c>
      <c r="Q86">
        <v>124</v>
      </c>
      <c r="R86">
        <v>126.9</v>
      </c>
      <c r="S86">
        <v>124.7</v>
      </c>
      <c r="T86">
        <v>120.8</v>
      </c>
      <c r="U86">
        <v>124.1</v>
      </c>
      <c r="V86">
        <v>119.2</v>
      </c>
      <c r="W86">
        <v>118.7</v>
      </c>
      <c r="X86">
        <v>119.7</v>
      </c>
      <c r="Y86">
        <v>117.1</v>
      </c>
      <c r="Z86">
        <v>110.1</v>
      </c>
      <c r="AA86">
        <v>115.9</v>
      </c>
      <c r="AB86">
        <v>121</v>
      </c>
      <c r="AC86">
        <v>111.7</v>
      </c>
      <c r="AD86">
        <v>115.1</v>
      </c>
      <c r="AE86">
        <v>120.7</v>
      </c>
    </row>
    <row r="87" spans="2:31" x14ac:dyDescent="0.3">
      <c r="B87" t="s">
        <v>30</v>
      </c>
      <c r="C87">
        <v>2015</v>
      </c>
      <c r="D87" t="s">
        <v>38</v>
      </c>
      <c r="E87">
        <v>123.5</v>
      </c>
      <c r="F87">
        <v>127.1</v>
      </c>
      <c r="G87">
        <v>117.3</v>
      </c>
      <c r="H87">
        <v>127.7</v>
      </c>
      <c r="I87">
        <v>112.5</v>
      </c>
      <c r="J87">
        <v>134.1</v>
      </c>
      <c r="K87">
        <v>128.5</v>
      </c>
      <c r="L87">
        <v>124.3</v>
      </c>
      <c r="M87">
        <v>97.6</v>
      </c>
      <c r="N87">
        <v>120.7</v>
      </c>
      <c r="O87">
        <v>120.2</v>
      </c>
      <c r="P87">
        <v>129.80000000000001</v>
      </c>
      <c r="Q87">
        <v>124.4</v>
      </c>
      <c r="R87">
        <v>126.7</v>
      </c>
      <c r="S87">
        <v>127.3</v>
      </c>
      <c r="T87">
        <v>124.1</v>
      </c>
      <c r="U87">
        <v>126.8</v>
      </c>
      <c r="V87" t="s">
        <v>32</v>
      </c>
      <c r="W87">
        <v>121.9</v>
      </c>
      <c r="X87">
        <v>121.5</v>
      </c>
      <c r="Y87">
        <v>119.4</v>
      </c>
      <c r="Z87">
        <v>113.3</v>
      </c>
      <c r="AA87">
        <v>116.7</v>
      </c>
      <c r="AB87">
        <v>120.5</v>
      </c>
      <c r="AC87">
        <v>112.3</v>
      </c>
      <c r="AD87">
        <v>116.9</v>
      </c>
      <c r="AE87">
        <v>122.4</v>
      </c>
    </row>
    <row r="88" spans="2:31" x14ac:dyDescent="0.3">
      <c r="B88" t="s">
        <v>33</v>
      </c>
      <c r="C88">
        <v>2015</v>
      </c>
      <c r="D88" t="s">
        <v>38</v>
      </c>
      <c r="E88">
        <v>123.8</v>
      </c>
      <c r="F88">
        <v>129.69999999999999</v>
      </c>
      <c r="G88">
        <v>111.3</v>
      </c>
      <c r="H88">
        <v>126.6</v>
      </c>
      <c r="I88">
        <v>105.2</v>
      </c>
      <c r="J88">
        <v>130.80000000000001</v>
      </c>
      <c r="K88">
        <v>135.6</v>
      </c>
      <c r="L88">
        <v>142.6</v>
      </c>
      <c r="M88">
        <v>90.8</v>
      </c>
      <c r="N88">
        <v>128.80000000000001</v>
      </c>
      <c r="O88">
        <v>117.7</v>
      </c>
      <c r="P88">
        <v>129.9</v>
      </c>
      <c r="Q88">
        <v>126.1</v>
      </c>
      <c r="R88">
        <v>131.30000000000001</v>
      </c>
      <c r="S88">
        <v>122.4</v>
      </c>
      <c r="T88">
        <v>117.4</v>
      </c>
      <c r="U88">
        <v>121.6</v>
      </c>
      <c r="V88">
        <v>119.6</v>
      </c>
      <c r="W88">
        <v>114.9</v>
      </c>
      <c r="X88">
        <v>118.7</v>
      </c>
      <c r="Y88">
        <v>114.9</v>
      </c>
      <c r="Z88">
        <v>110.8</v>
      </c>
      <c r="AA88">
        <v>116</v>
      </c>
      <c r="AB88">
        <v>122</v>
      </c>
      <c r="AC88">
        <v>112.4</v>
      </c>
      <c r="AD88">
        <v>115.2</v>
      </c>
      <c r="AE88">
        <v>120.7</v>
      </c>
    </row>
    <row r="89" spans="2:31" x14ac:dyDescent="0.3">
      <c r="B89" t="s">
        <v>34</v>
      </c>
      <c r="C89">
        <v>2015</v>
      </c>
      <c r="D89" t="s">
        <v>38</v>
      </c>
      <c r="E89">
        <v>123.6</v>
      </c>
      <c r="F89">
        <v>128</v>
      </c>
      <c r="G89">
        <v>115</v>
      </c>
      <c r="H89">
        <v>127.3</v>
      </c>
      <c r="I89">
        <v>109.8</v>
      </c>
      <c r="J89">
        <v>132.6</v>
      </c>
      <c r="K89">
        <v>130.9</v>
      </c>
      <c r="L89">
        <v>130.5</v>
      </c>
      <c r="M89">
        <v>95.3</v>
      </c>
      <c r="N89">
        <v>123.4</v>
      </c>
      <c r="O89">
        <v>119.2</v>
      </c>
      <c r="P89">
        <v>129.80000000000001</v>
      </c>
      <c r="Q89">
        <v>125</v>
      </c>
      <c r="R89">
        <v>127.9</v>
      </c>
      <c r="S89">
        <v>125.4</v>
      </c>
      <c r="T89">
        <v>121.3</v>
      </c>
      <c r="U89">
        <v>124.7</v>
      </c>
      <c r="V89">
        <v>119.6</v>
      </c>
      <c r="W89">
        <v>119.2</v>
      </c>
      <c r="X89">
        <v>120.2</v>
      </c>
      <c r="Y89">
        <v>117.7</v>
      </c>
      <c r="Z89">
        <v>112</v>
      </c>
      <c r="AA89">
        <v>116.3</v>
      </c>
      <c r="AB89">
        <v>121.4</v>
      </c>
      <c r="AC89">
        <v>112.3</v>
      </c>
      <c r="AD89">
        <v>116.1</v>
      </c>
      <c r="AE89">
        <v>121.6</v>
      </c>
    </row>
    <row r="90" spans="2:31" x14ac:dyDescent="0.3">
      <c r="B90" t="s">
        <v>30</v>
      </c>
      <c r="C90">
        <v>2015</v>
      </c>
      <c r="D90" t="s">
        <v>39</v>
      </c>
      <c r="E90">
        <v>124.1</v>
      </c>
      <c r="F90">
        <v>130.4</v>
      </c>
      <c r="G90">
        <v>122.1</v>
      </c>
      <c r="H90">
        <v>128.69999999999999</v>
      </c>
      <c r="I90">
        <v>114.1</v>
      </c>
      <c r="J90">
        <v>133.19999999999999</v>
      </c>
      <c r="K90">
        <v>135.19999999999999</v>
      </c>
      <c r="L90">
        <v>131.9</v>
      </c>
      <c r="M90">
        <v>96.3</v>
      </c>
      <c r="N90">
        <v>123</v>
      </c>
      <c r="O90">
        <v>121.1</v>
      </c>
      <c r="P90">
        <v>131.19999999999999</v>
      </c>
      <c r="Q90">
        <v>126.6</v>
      </c>
      <c r="R90">
        <v>128.19999999999999</v>
      </c>
      <c r="S90">
        <v>128.4</v>
      </c>
      <c r="T90">
        <v>125.1</v>
      </c>
      <c r="U90">
        <v>128</v>
      </c>
      <c r="V90" t="s">
        <v>32</v>
      </c>
      <c r="W90">
        <v>122.6</v>
      </c>
      <c r="X90">
        <v>122.8</v>
      </c>
      <c r="Y90">
        <v>120.4</v>
      </c>
      <c r="Z90">
        <v>114.2</v>
      </c>
      <c r="AA90">
        <v>117.9</v>
      </c>
      <c r="AB90">
        <v>122</v>
      </c>
      <c r="AC90">
        <v>113</v>
      </c>
      <c r="AD90">
        <v>117.9</v>
      </c>
      <c r="AE90">
        <v>124.1</v>
      </c>
    </row>
    <row r="91" spans="2:31" x14ac:dyDescent="0.3">
      <c r="B91" t="s">
        <v>33</v>
      </c>
      <c r="C91">
        <v>2015</v>
      </c>
      <c r="D91" t="s">
        <v>39</v>
      </c>
      <c r="E91">
        <v>123.6</v>
      </c>
      <c r="F91">
        <v>134.4</v>
      </c>
      <c r="G91">
        <v>120.9</v>
      </c>
      <c r="H91">
        <v>127.3</v>
      </c>
      <c r="I91">
        <v>106</v>
      </c>
      <c r="J91">
        <v>132.30000000000001</v>
      </c>
      <c r="K91">
        <v>146.69999999999999</v>
      </c>
      <c r="L91">
        <v>148.1</v>
      </c>
      <c r="M91">
        <v>89.8</v>
      </c>
      <c r="N91">
        <v>130.5</v>
      </c>
      <c r="O91">
        <v>118</v>
      </c>
      <c r="P91">
        <v>130.5</v>
      </c>
      <c r="Q91">
        <v>128.5</v>
      </c>
      <c r="R91">
        <v>132.1</v>
      </c>
      <c r="S91">
        <v>123.2</v>
      </c>
      <c r="T91">
        <v>117.6</v>
      </c>
      <c r="U91">
        <v>122.3</v>
      </c>
      <c r="V91">
        <v>119</v>
      </c>
      <c r="W91">
        <v>115.1</v>
      </c>
      <c r="X91">
        <v>119.2</v>
      </c>
      <c r="Y91">
        <v>115.4</v>
      </c>
      <c r="Z91">
        <v>111.7</v>
      </c>
      <c r="AA91">
        <v>116.2</v>
      </c>
      <c r="AB91">
        <v>123.8</v>
      </c>
      <c r="AC91">
        <v>112.5</v>
      </c>
      <c r="AD91">
        <v>116</v>
      </c>
      <c r="AE91">
        <v>121.7</v>
      </c>
    </row>
    <row r="92" spans="2:31" x14ac:dyDescent="0.3">
      <c r="B92" t="s">
        <v>34</v>
      </c>
      <c r="C92">
        <v>2015</v>
      </c>
      <c r="D92" t="s">
        <v>39</v>
      </c>
      <c r="E92">
        <v>123.9</v>
      </c>
      <c r="F92">
        <v>131.80000000000001</v>
      </c>
      <c r="G92">
        <v>121.6</v>
      </c>
      <c r="H92">
        <v>128.19999999999999</v>
      </c>
      <c r="I92">
        <v>111.1</v>
      </c>
      <c r="J92">
        <v>132.80000000000001</v>
      </c>
      <c r="K92">
        <v>139.1</v>
      </c>
      <c r="L92">
        <v>137.4</v>
      </c>
      <c r="M92">
        <v>94.1</v>
      </c>
      <c r="N92">
        <v>125.5</v>
      </c>
      <c r="O92">
        <v>119.8</v>
      </c>
      <c r="P92">
        <v>130.9</v>
      </c>
      <c r="Q92">
        <v>127.3</v>
      </c>
      <c r="R92">
        <v>129.19999999999999</v>
      </c>
      <c r="S92">
        <v>126.4</v>
      </c>
      <c r="T92">
        <v>122</v>
      </c>
      <c r="U92">
        <v>125.7</v>
      </c>
      <c r="V92">
        <v>119</v>
      </c>
      <c r="W92">
        <v>119.8</v>
      </c>
      <c r="X92">
        <v>121.1</v>
      </c>
      <c r="Y92">
        <v>118.5</v>
      </c>
      <c r="Z92">
        <v>112.9</v>
      </c>
      <c r="AA92">
        <v>116.9</v>
      </c>
      <c r="AB92">
        <v>123.1</v>
      </c>
      <c r="AC92">
        <v>112.8</v>
      </c>
      <c r="AD92">
        <v>117</v>
      </c>
      <c r="AE92">
        <v>123</v>
      </c>
    </row>
    <row r="93" spans="2:31" x14ac:dyDescent="0.3">
      <c r="B93" t="s">
        <v>30</v>
      </c>
      <c r="C93">
        <v>2015</v>
      </c>
      <c r="D93" t="s">
        <v>40</v>
      </c>
      <c r="E93">
        <v>124</v>
      </c>
      <c r="F93">
        <v>131.5</v>
      </c>
      <c r="G93">
        <v>122</v>
      </c>
      <c r="H93">
        <v>128.69999999999999</v>
      </c>
      <c r="I93">
        <v>113.5</v>
      </c>
      <c r="J93">
        <v>133.30000000000001</v>
      </c>
      <c r="K93">
        <v>140.80000000000001</v>
      </c>
      <c r="L93">
        <v>133.80000000000001</v>
      </c>
      <c r="M93">
        <v>94.1</v>
      </c>
      <c r="N93">
        <v>123.4</v>
      </c>
      <c r="O93">
        <v>121</v>
      </c>
      <c r="P93">
        <v>131.69999999999999</v>
      </c>
      <c r="Q93">
        <v>127.5</v>
      </c>
      <c r="R93">
        <v>129.4</v>
      </c>
      <c r="S93">
        <v>128.80000000000001</v>
      </c>
      <c r="T93">
        <v>125.5</v>
      </c>
      <c r="U93">
        <v>128.30000000000001</v>
      </c>
      <c r="V93" t="s">
        <v>32</v>
      </c>
      <c r="W93">
        <v>123</v>
      </c>
      <c r="X93">
        <v>123</v>
      </c>
      <c r="Y93">
        <v>120.8</v>
      </c>
      <c r="Z93">
        <v>114.1</v>
      </c>
      <c r="AA93">
        <v>118</v>
      </c>
      <c r="AB93">
        <v>122.9</v>
      </c>
      <c r="AC93">
        <v>112.7</v>
      </c>
      <c r="AD93">
        <v>118.1</v>
      </c>
      <c r="AE93">
        <v>124.7</v>
      </c>
    </row>
    <row r="94" spans="2:31" x14ac:dyDescent="0.3">
      <c r="B94" t="s">
        <v>33</v>
      </c>
      <c r="C94">
        <v>2015</v>
      </c>
      <c r="D94" t="s">
        <v>40</v>
      </c>
      <c r="E94">
        <v>123.2</v>
      </c>
      <c r="F94">
        <v>134.30000000000001</v>
      </c>
      <c r="G94">
        <v>119.5</v>
      </c>
      <c r="H94">
        <v>127.7</v>
      </c>
      <c r="I94">
        <v>106.3</v>
      </c>
      <c r="J94">
        <v>132.80000000000001</v>
      </c>
      <c r="K94">
        <v>153.5</v>
      </c>
      <c r="L94">
        <v>149.5</v>
      </c>
      <c r="M94">
        <v>85.7</v>
      </c>
      <c r="N94">
        <v>131.5</v>
      </c>
      <c r="O94">
        <v>118.3</v>
      </c>
      <c r="P94">
        <v>131.1</v>
      </c>
      <c r="Q94">
        <v>129.5</v>
      </c>
      <c r="R94">
        <v>133.1</v>
      </c>
      <c r="S94">
        <v>123.5</v>
      </c>
      <c r="T94">
        <v>117.9</v>
      </c>
      <c r="U94">
        <v>122.7</v>
      </c>
      <c r="V94">
        <v>119.9</v>
      </c>
      <c r="W94">
        <v>115.3</v>
      </c>
      <c r="X94">
        <v>119.5</v>
      </c>
      <c r="Y94">
        <v>116</v>
      </c>
      <c r="Z94">
        <v>111.5</v>
      </c>
      <c r="AA94">
        <v>116.6</v>
      </c>
      <c r="AB94">
        <v>125.4</v>
      </c>
      <c r="AC94">
        <v>111.7</v>
      </c>
      <c r="AD94">
        <v>116.3</v>
      </c>
      <c r="AE94">
        <v>122.4</v>
      </c>
    </row>
    <row r="95" spans="2:31" x14ac:dyDescent="0.3">
      <c r="B95" t="s">
        <v>34</v>
      </c>
      <c r="C95">
        <v>2015</v>
      </c>
      <c r="D95" t="s">
        <v>40</v>
      </c>
      <c r="E95">
        <v>123.7</v>
      </c>
      <c r="F95">
        <v>132.5</v>
      </c>
      <c r="G95">
        <v>121</v>
      </c>
      <c r="H95">
        <v>128.30000000000001</v>
      </c>
      <c r="I95">
        <v>110.9</v>
      </c>
      <c r="J95">
        <v>133.1</v>
      </c>
      <c r="K95">
        <v>145.1</v>
      </c>
      <c r="L95">
        <v>139.1</v>
      </c>
      <c r="M95">
        <v>91.3</v>
      </c>
      <c r="N95">
        <v>126.1</v>
      </c>
      <c r="O95">
        <v>119.9</v>
      </c>
      <c r="P95">
        <v>131.4</v>
      </c>
      <c r="Q95">
        <v>128.19999999999999</v>
      </c>
      <c r="R95">
        <v>130.4</v>
      </c>
      <c r="S95">
        <v>126.7</v>
      </c>
      <c r="T95">
        <v>122.3</v>
      </c>
      <c r="U95">
        <v>126.1</v>
      </c>
      <c r="V95">
        <v>119.9</v>
      </c>
      <c r="W95">
        <v>120.1</v>
      </c>
      <c r="X95">
        <v>121.3</v>
      </c>
      <c r="Y95">
        <v>119</v>
      </c>
      <c r="Z95">
        <v>112.7</v>
      </c>
      <c r="AA95">
        <v>117.2</v>
      </c>
      <c r="AB95">
        <v>124.4</v>
      </c>
      <c r="AC95">
        <v>112.3</v>
      </c>
      <c r="AD95">
        <v>117.2</v>
      </c>
      <c r="AE95">
        <v>123.6</v>
      </c>
    </row>
    <row r="96" spans="2:31" x14ac:dyDescent="0.3">
      <c r="B96" t="s">
        <v>30</v>
      </c>
      <c r="C96">
        <v>2015</v>
      </c>
      <c r="D96" t="s">
        <v>41</v>
      </c>
      <c r="E96">
        <v>124.7</v>
      </c>
      <c r="F96">
        <v>131.30000000000001</v>
      </c>
      <c r="G96">
        <v>121.3</v>
      </c>
      <c r="H96">
        <v>128.80000000000001</v>
      </c>
      <c r="I96">
        <v>114</v>
      </c>
      <c r="J96">
        <v>134.19999999999999</v>
      </c>
      <c r="K96">
        <v>153.6</v>
      </c>
      <c r="L96">
        <v>137.9</v>
      </c>
      <c r="M96">
        <v>93.1</v>
      </c>
      <c r="N96">
        <v>123.9</v>
      </c>
      <c r="O96">
        <v>121.5</v>
      </c>
      <c r="P96">
        <v>132.5</v>
      </c>
      <c r="Q96">
        <v>129.80000000000001</v>
      </c>
      <c r="R96">
        <v>130.1</v>
      </c>
      <c r="S96">
        <v>129.5</v>
      </c>
      <c r="T96">
        <v>126.3</v>
      </c>
      <c r="U96">
        <v>129</v>
      </c>
      <c r="V96" t="s">
        <v>32</v>
      </c>
      <c r="W96">
        <v>123.8</v>
      </c>
      <c r="X96">
        <v>123.7</v>
      </c>
      <c r="Y96">
        <v>121.1</v>
      </c>
      <c r="Z96">
        <v>113.6</v>
      </c>
      <c r="AA96">
        <v>118.5</v>
      </c>
      <c r="AB96">
        <v>123.6</v>
      </c>
      <c r="AC96">
        <v>112.5</v>
      </c>
      <c r="AD96">
        <v>118.2</v>
      </c>
      <c r="AE96">
        <v>126.1</v>
      </c>
    </row>
    <row r="97" spans="2:31" x14ac:dyDescent="0.3">
      <c r="B97" t="s">
        <v>33</v>
      </c>
      <c r="C97">
        <v>2015</v>
      </c>
      <c r="D97" t="s">
        <v>41</v>
      </c>
      <c r="E97">
        <v>123.1</v>
      </c>
      <c r="F97">
        <v>131.69999999999999</v>
      </c>
      <c r="G97">
        <v>118.1</v>
      </c>
      <c r="H97">
        <v>128</v>
      </c>
      <c r="I97">
        <v>106.8</v>
      </c>
      <c r="J97">
        <v>130.1</v>
      </c>
      <c r="K97">
        <v>165.5</v>
      </c>
      <c r="L97">
        <v>156</v>
      </c>
      <c r="M97">
        <v>85.3</v>
      </c>
      <c r="N97">
        <v>132.69999999999999</v>
      </c>
      <c r="O97">
        <v>118.8</v>
      </c>
      <c r="P97">
        <v>131.69999999999999</v>
      </c>
      <c r="Q97">
        <v>131.1</v>
      </c>
      <c r="R97">
        <v>134.19999999999999</v>
      </c>
      <c r="S97">
        <v>123.7</v>
      </c>
      <c r="T97">
        <v>118.2</v>
      </c>
      <c r="U97">
        <v>122.9</v>
      </c>
      <c r="V97">
        <v>120.9</v>
      </c>
      <c r="W97">
        <v>115.3</v>
      </c>
      <c r="X97">
        <v>120</v>
      </c>
      <c r="Y97">
        <v>116.6</v>
      </c>
      <c r="Z97">
        <v>109.9</v>
      </c>
      <c r="AA97">
        <v>117.2</v>
      </c>
      <c r="AB97">
        <v>126.2</v>
      </c>
      <c r="AC97">
        <v>112</v>
      </c>
      <c r="AD97">
        <v>116.2</v>
      </c>
      <c r="AE97">
        <v>123.2</v>
      </c>
    </row>
    <row r="98" spans="2:31" x14ac:dyDescent="0.3">
      <c r="B98" t="s">
        <v>34</v>
      </c>
      <c r="C98">
        <v>2015</v>
      </c>
      <c r="D98" t="s">
        <v>41</v>
      </c>
      <c r="E98">
        <v>124.2</v>
      </c>
      <c r="F98">
        <v>131.4</v>
      </c>
      <c r="G98">
        <v>120.1</v>
      </c>
      <c r="H98">
        <v>128.5</v>
      </c>
      <c r="I98">
        <v>111.4</v>
      </c>
      <c r="J98">
        <v>132.30000000000001</v>
      </c>
      <c r="K98">
        <v>157.6</v>
      </c>
      <c r="L98">
        <v>144</v>
      </c>
      <c r="M98">
        <v>90.5</v>
      </c>
      <c r="N98">
        <v>126.8</v>
      </c>
      <c r="O98">
        <v>120.4</v>
      </c>
      <c r="P98">
        <v>132.1</v>
      </c>
      <c r="Q98">
        <v>130.30000000000001</v>
      </c>
      <c r="R98">
        <v>131.19999999999999</v>
      </c>
      <c r="S98">
        <v>127.2</v>
      </c>
      <c r="T98">
        <v>122.9</v>
      </c>
      <c r="U98">
        <v>126.6</v>
      </c>
      <c r="V98">
        <v>120.9</v>
      </c>
      <c r="W98">
        <v>120.6</v>
      </c>
      <c r="X98">
        <v>122</v>
      </c>
      <c r="Y98">
        <v>119.4</v>
      </c>
      <c r="Z98">
        <v>111.7</v>
      </c>
      <c r="AA98">
        <v>117.8</v>
      </c>
      <c r="AB98">
        <v>125.1</v>
      </c>
      <c r="AC98">
        <v>112.3</v>
      </c>
      <c r="AD98">
        <v>117.2</v>
      </c>
      <c r="AE98">
        <v>124.8</v>
      </c>
    </row>
    <row r="99" spans="2:31" x14ac:dyDescent="0.3">
      <c r="B99" t="s">
        <v>30</v>
      </c>
      <c r="C99">
        <v>2015</v>
      </c>
      <c r="D99" t="s">
        <v>42</v>
      </c>
      <c r="E99">
        <v>125.1</v>
      </c>
      <c r="F99">
        <v>131.1</v>
      </c>
      <c r="G99">
        <v>120.7</v>
      </c>
      <c r="H99">
        <v>129.19999999999999</v>
      </c>
      <c r="I99">
        <v>114.7</v>
      </c>
      <c r="J99">
        <v>132.30000000000001</v>
      </c>
      <c r="K99">
        <v>158.9</v>
      </c>
      <c r="L99">
        <v>142.1</v>
      </c>
      <c r="M99">
        <v>92.5</v>
      </c>
      <c r="N99">
        <v>125.4</v>
      </c>
      <c r="O99">
        <v>121.9</v>
      </c>
      <c r="P99">
        <v>132.69999999999999</v>
      </c>
      <c r="Q99">
        <v>131</v>
      </c>
      <c r="R99">
        <v>131</v>
      </c>
      <c r="S99">
        <v>130.4</v>
      </c>
      <c r="T99">
        <v>126.8</v>
      </c>
      <c r="U99">
        <v>129.9</v>
      </c>
      <c r="V99" t="s">
        <v>32</v>
      </c>
      <c r="W99">
        <v>123.7</v>
      </c>
      <c r="X99">
        <v>124.5</v>
      </c>
      <c r="Y99">
        <v>121.4</v>
      </c>
      <c r="Z99">
        <v>113.8</v>
      </c>
      <c r="AA99">
        <v>119.6</v>
      </c>
      <c r="AB99">
        <v>124.5</v>
      </c>
      <c r="AC99">
        <v>113.7</v>
      </c>
      <c r="AD99">
        <v>118.8</v>
      </c>
      <c r="AE99">
        <v>127</v>
      </c>
    </row>
    <row r="100" spans="2:31" x14ac:dyDescent="0.3">
      <c r="B100" t="s">
        <v>33</v>
      </c>
      <c r="C100">
        <v>2015</v>
      </c>
      <c r="D100" t="s">
        <v>42</v>
      </c>
      <c r="E100">
        <v>123.4</v>
      </c>
      <c r="F100">
        <v>129</v>
      </c>
      <c r="G100">
        <v>115.6</v>
      </c>
      <c r="H100">
        <v>128.30000000000001</v>
      </c>
      <c r="I100">
        <v>107</v>
      </c>
      <c r="J100">
        <v>124</v>
      </c>
      <c r="K100">
        <v>168.5</v>
      </c>
      <c r="L100">
        <v>165.4</v>
      </c>
      <c r="M100">
        <v>86.3</v>
      </c>
      <c r="N100">
        <v>134.4</v>
      </c>
      <c r="O100">
        <v>119.1</v>
      </c>
      <c r="P100">
        <v>132.30000000000001</v>
      </c>
      <c r="Q100">
        <v>131.5</v>
      </c>
      <c r="R100">
        <v>134.69999999999999</v>
      </c>
      <c r="S100">
        <v>124</v>
      </c>
      <c r="T100">
        <v>118.6</v>
      </c>
      <c r="U100">
        <v>123.2</v>
      </c>
      <c r="V100">
        <v>121.6</v>
      </c>
      <c r="W100">
        <v>115.1</v>
      </c>
      <c r="X100">
        <v>120.4</v>
      </c>
      <c r="Y100">
        <v>117.1</v>
      </c>
      <c r="Z100">
        <v>109.1</v>
      </c>
      <c r="AA100">
        <v>117.3</v>
      </c>
      <c r="AB100">
        <v>126.5</v>
      </c>
      <c r="AC100">
        <v>112.9</v>
      </c>
      <c r="AD100">
        <v>116.2</v>
      </c>
      <c r="AE100">
        <v>123.5</v>
      </c>
    </row>
    <row r="101" spans="2:31" x14ac:dyDescent="0.3">
      <c r="B101" t="s">
        <v>34</v>
      </c>
      <c r="C101">
        <v>2015</v>
      </c>
      <c r="D101" t="s">
        <v>42</v>
      </c>
      <c r="E101">
        <v>124.6</v>
      </c>
      <c r="F101">
        <v>130.4</v>
      </c>
      <c r="G101">
        <v>118.7</v>
      </c>
      <c r="H101">
        <v>128.9</v>
      </c>
      <c r="I101">
        <v>111.9</v>
      </c>
      <c r="J101">
        <v>128.4</v>
      </c>
      <c r="K101">
        <v>162.19999999999999</v>
      </c>
      <c r="L101">
        <v>150</v>
      </c>
      <c r="M101">
        <v>90.4</v>
      </c>
      <c r="N101">
        <v>128.4</v>
      </c>
      <c r="O101">
        <v>120.7</v>
      </c>
      <c r="P101">
        <v>132.5</v>
      </c>
      <c r="Q101">
        <v>131.19999999999999</v>
      </c>
      <c r="R101">
        <v>132</v>
      </c>
      <c r="S101">
        <v>127.9</v>
      </c>
      <c r="T101">
        <v>123.4</v>
      </c>
      <c r="U101">
        <v>127.2</v>
      </c>
      <c r="V101">
        <v>121.6</v>
      </c>
      <c r="W101">
        <v>120.4</v>
      </c>
      <c r="X101">
        <v>122.6</v>
      </c>
      <c r="Y101">
        <v>119.8</v>
      </c>
      <c r="Z101">
        <v>111.3</v>
      </c>
      <c r="AA101">
        <v>118.3</v>
      </c>
      <c r="AB101">
        <v>125.7</v>
      </c>
      <c r="AC101">
        <v>113.4</v>
      </c>
      <c r="AD101">
        <v>117.5</v>
      </c>
      <c r="AE101">
        <v>125.4</v>
      </c>
    </row>
    <row r="102" spans="2:31" x14ac:dyDescent="0.3">
      <c r="B102" t="s">
        <v>30</v>
      </c>
      <c r="C102">
        <v>2015</v>
      </c>
      <c r="D102" t="s">
        <v>43</v>
      </c>
      <c r="E102">
        <v>125.6</v>
      </c>
      <c r="F102">
        <v>130.4</v>
      </c>
      <c r="G102">
        <v>120.8</v>
      </c>
      <c r="H102">
        <v>129.4</v>
      </c>
      <c r="I102">
        <v>115.8</v>
      </c>
      <c r="J102">
        <v>133.19999999999999</v>
      </c>
      <c r="K102">
        <v>157.69999999999999</v>
      </c>
      <c r="L102">
        <v>154.19999999999999</v>
      </c>
      <c r="M102">
        <v>93.7</v>
      </c>
      <c r="N102">
        <v>126.6</v>
      </c>
      <c r="O102">
        <v>122.3</v>
      </c>
      <c r="P102">
        <v>133.1</v>
      </c>
      <c r="Q102">
        <v>131.80000000000001</v>
      </c>
      <c r="R102">
        <v>131.5</v>
      </c>
      <c r="S102">
        <v>131.1</v>
      </c>
      <c r="T102">
        <v>127.3</v>
      </c>
      <c r="U102">
        <v>130.6</v>
      </c>
      <c r="V102" t="s">
        <v>32</v>
      </c>
      <c r="W102">
        <v>124.4</v>
      </c>
      <c r="X102">
        <v>125.1</v>
      </c>
      <c r="Y102">
        <v>122</v>
      </c>
      <c r="Z102">
        <v>113.8</v>
      </c>
      <c r="AA102">
        <v>120.1</v>
      </c>
      <c r="AB102">
        <v>125.1</v>
      </c>
      <c r="AC102">
        <v>114.2</v>
      </c>
      <c r="AD102">
        <v>119.2</v>
      </c>
      <c r="AE102">
        <v>127.7</v>
      </c>
    </row>
    <row r="103" spans="2:31" x14ac:dyDescent="0.3">
      <c r="B103" t="s">
        <v>33</v>
      </c>
      <c r="C103">
        <v>2015</v>
      </c>
      <c r="D103" t="s">
        <v>43</v>
      </c>
      <c r="E103">
        <v>123.6</v>
      </c>
      <c r="F103">
        <v>128.6</v>
      </c>
      <c r="G103">
        <v>115.9</v>
      </c>
      <c r="H103">
        <v>128.5</v>
      </c>
      <c r="I103">
        <v>109</v>
      </c>
      <c r="J103">
        <v>124.1</v>
      </c>
      <c r="K103">
        <v>165.8</v>
      </c>
      <c r="L103">
        <v>187.2</v>
      </c>
      <c r="M103">
        <v>89.4</v>
      </c>
      <c r="N103">
        <v>135.80000000000001</v>
      </c>
      <c r="O103">
        <v>119.4</v>
      </c>
      <c r="P103">
        <v>132.9</v>
      </c>
      <c r="Q103">
        <v>132.6</v>
      </c>
      <c r="R103">
        <v>135.30000000000001</v>
      </c>
      <c r="S103">
        <v>124.4</v>
      </c>
      <c r="T103">
        <v>118.8</v>
      </c>
      <c r="U103">
        <v>123.6</v>
      </c>
      <c r="V103">
        <v>122.4</v>
      </c>
      <c r="W103">
        <v>114.9</v>
      </c>
      <c r="X103">
        <v>120.7</v>
      </c>
      <c r="Y103">
        <v>117.7</v>
      </c>
      <c r="Z103">
        <v>109.3</v>
      </c>
      <c r="AA103">
        <v>117.7</v>
      </c>
      <c r="AB103">
        <v>126.5</v>
      </c>
      <c r="AC103">
        <v>113.5</v>
      </c>
      <c r="AD103">
        <v>116.5</v>
      </c>
      <c r="AE103">
        <v>124.2</v>
      </c>
    </row>
    <row r="104" spans="2:31" x14ac:dyDescent="0.3">
      <c r="B104" t="s">
        <v>34</v>
      </c>
      <c r="C104">
        <v>2015</v>
      </c>
      <c r="D104" t="s">
        <v>43</v>
      </c>
      <c r="E104">
        <v>125</v>
      </c>
      <c r="F104">
        <v>129.80000000000001</v>
      </c>
      <c r="G104">
        <v>118.9</v>
      </c>
      <c r="H104">
        <v>129.1</v>
      </c>
      <c r="I104">
        <v>113.3</v>
      </c>
      <c r="J104">
        <v>129</v>
      </c>
      <c r="K104">
        <v>160.4</v>
      </c>
      <c r="L104">
        <v>165.3</v>
      </c>
      <c r="M104">
        <v>92.3</v>
      </c>
      <c r="N104">
        <v>129.69999999999999</v>
      </c>
      <c r="O104">
        <v>121.1</v>
      </c>
      <c r="P104">
        <v>133</v>
      </c>
      <c r="Q104">
        <v>132.1</v>
      </c>
      <c r="R104">
        <v>132.5</v>
      </c>
      <c r="S104">
        <v>128.5</v>
      </c>
      <c r="T104">
        <v>123.8</v>
      </c>
      <c r="U104">
        <v>127.8</v>
      </c>
      <c r="V104">
        <v>122.4</v>
      </c>
      <c r="W104">
        <v>120.8</v>
      </c>
      <c r="X104">
        <v>123</v>
      </c>
      <c r="Y104">
        <v>120.4</v>
      </c>
      <c r="Z104">
        <v>111.4</v>
      </c>
      <c r="AA104">
        <v>118.7</v>
      </c>
      <c r="AB104">
        <v>125.9</v>
      </c>
      <c r="AC104">
        <v>113.9</v>
      </c>
      <c r="AD104">
        <v>117.9</v>
      </c>
      <c r="AE104">
        <v>126.1</v>
      </c>
    </row>
    <row r="105" spans="2:31" x14ac:dyDescent="0.3">
      <c r="B105" t="s">
        <v>30</v>
      </c>
      <c r="C105">
        <v>2015</v>
      </c>
      <c r="D105" t="s">
        <v>45</v>
      </c>
      <c r="E105">
        <v>126.1</v>
      </c>
      <c r="F105">
        <v>130.6</v>
      </c>
      <c r="G105">
        <v>121.7</v>
      </c>
      <c r="H105">
        <v>129.5</v>
      </c>
      <c r="I105">
        <v>117.8</v>
      </c>
      <c r="J105">
        <v>132.1</v>
      </c>
      <c r="K105">
        <v>155.19999999999999</v>
      </c>
      <c r="L105">
        <v>160.80000000000001</v>
      </c>
      <c r="M105">
        <v>94.5</v>
      </c>
      <c r="N105">
        <v>128.30000000000001</v>
      </c>
      <c r="O105">
        <v>123.1</v>
      </c>
      <c r="P105">
        <v>134.19999999999999</v>
      </c>
      <c r="Q105">
        <v>132.4</v>
      </c>
      <c r="R105">
        <v>132.19999999999999</v>
      </c>
      <c r="S105">
        <v>132.1</v>
      </c>
      <c r="T105">
        <v>128.19999999999999</v>
      </c>
      <c r="U105">
        <v>131.5</v>
      </c>
      <c r="V105" t="s">
        <v>32</v>
      </c>
      <c r="W105">
        <v>125.6</v>
      </c>
      <c r="X105">
        <v>125.6</v>
      </c>
      <c r="Y105">
        <v>122.6</v>
      </c>
      <c r="Z105">
        <v>114</v>
      </c>
      <c r="AA105">
        <v>120.9</v>
      </c>
      <c r="AB105">
        <v>125.8</v>
      </c>
      <c r="AC105">
        <v>114.2</v>
      </c>
      <c r="AD105">
        <v>119.6</v>
      </c>
      <c r="AE105">
        <v>128.30000000000001</v>
      </c>
    </row>
    <row r="106" spans="2:31" x14ac:dyDescent="0.3">
      <c r="B106" t="s">
        <v>33</v>
      </c>
      <c r="C106">
        <v>2015</v>
      </c>
      <c r="D106" t="s">
        <v>45</v>
      </c>
      <c r="E106">
        <v>124</v>
      </c>
      <c r="F106">
        <v>129.80000000000001</v>
      </c>
      <c r="G106">
        <v>121.5</v>
      </c>
      <c r="H106">
        <v>128.6</v>
      </c>
      <c r="I106">
        <v>110</v>
      </c>
      <c r="J106">
        <v>123.7</v>
      </c>
      <c r="K106">
        <v>164.6</v>
      </c>
      <c r="L106">
        <v>191.6</v>
      </c>
      <c r="M106">
        <v>90.8</v>
      </c>
      <c r="N106">
        <v>137.1</v>
      </c>
      <c r="O106">
        <v>119.8</v>
      </c>
      <c r="P106">
        <v>133.69999999999999</v>
      </c>
      <c r="Q106">
        <v>133.30000000000001</v>
      </c>
      <c r="R106">
        <v>137.6</v>
      </c>
      <c r="S106">
        <v>125</v>
      </c>
      <c r="T106">
        <v>119.3</v>
      </c>
      <c r="U106">
        <v>124.2</v>
      </c>
      <c r="V106">
        <v>122.9</v>
      </c>
      <c r="W106">
        <v>115.1</v>
      </c>
      <c r="X106">
        <v>121</v>
      </c>
      <c r="Y106">
        <v>118.1</v>
      </c>
      <c r="Z106">
        <v>109.3</v>
      </c>
      <c r="AA106">
        <v>117.9</v>
      </c>
      <c r="AB106">
        <v>126.6</v>
      </c>
      <c r="AC106">
        <v>113.3</v>
      </c>
      <c r="AD106">
        <v>116.6</v>
      </c>
      <c r="AE106">
        <v>124.6</v>
      </c>
    </row>
    <row r="107" spans="2:31" x14ac:dyDescent="0.3">
      <c r="B107" t="s">
        <v>34</v>
      </c>
      <c r="C107">
        <v>2015</v>
      </c>
      <c r="D107" t="s">
        <v>45</v>
      </c>
      <c r="E107">
        <v>125.4</v>
      </c>
      <c r="F107">
        <v>130.30000000000001</v>
      </c>
      <c r="G107">
        <v>121.6</v>
      </c>
      <c r="H107">
        <v>129.19999999999999</v>
      </c>
      <c r="I107">
        <v>114.9</v>
      </c>
      <c r="J107">
        <v>128.19999999999999</v>
      </c>
      <c r="K107">
        <v>158.4</v>
      </c>
      <c r="L107">
        <v>171.2</v>
      </c>
      <c r="M107">
        <v>93.3</v>
      </c>
      <c r="N107">
        <v>131.19999999999999</v>
      </c>
      <c r="O107">
        <v>121.7</v>
      </c>
      <c r="P107">
        <v>134</v>
      </c>
      <c r="Q107">
        <v>132.69999999999999</v>
      </c>
      <c r="R107">
        <v>133.6</v>
      </c>
      <c r="S107">
        <v>129.30000000000001</v>
      </c>
      <c r="T107">
        <v>124.5</v>
      </c>
      <c r="U107">
        <v>128.6</v>
      </c>
      <c r="V107">
        <v>122.9</v>
      </c>
      <c r="W107">
        <v>121.6</v>
      </c>
      <c r="X107">
        <v>123.4</v>
      </c>
      <c r="Y107">
        <v>120.9</v>
      </c>
      <c r="Z107">
        <v>111.5</v>
      </c>
      <c r="AA107">
        <v>119.2</v>
      </c>
      <c r="AB107">
        <v>126.3</v>
      </c>
      <c r="AC107">
        <v>113.8</v>
      </c>
      <c r="AD107">
        <v>118.1</v>
      </c>
      <c r="AE107">
        <v>126.6</v>
      </c>
    </row>
    <row r="108" spans="2:31" x14ac:dyDescent="0.3">
      <c r="B108" t="s">
        <v>30</v>
      </c>
      <c r="C108">
        <v>2015</v>
      </c>
      <c r="D108" t="s">
        <v>46</v>
      </c>
      <c r="E108">
        <v>126.3</v>
      </c>
      <c r="F108">
        <v>131.30000000000001</v>
      </c>
      <c r="G108">
        <v>123.3</v>
      </c>
      <c r="H108">
        <v>129.80000000000001</v>
      </c>
      <c r="I108">
        <v>118.3</v>
      </c>
      <c r="J108">
        <v>131.6</v>
      </c>
      <c r="K108">
        <v>145.5</v>
      </c>
      <c r="L108">
        <v>162.1</v>
      </c>
      <c r="M108">
        <v>95.4</v>
      </c>
      <c r="N108">
        <v>128.9</v>
      </c>
      <c r="O108">
        <v>123.3</v>
      </c>
      <c r="P108">
        <v>135.1</v>
      </c>
      <c r="Q108">
        <v>131.4</v>
      </c>
      <c r="R108">
        <v>133.1</v>
      </c>
      <c r="S108">
        <v>132.5</v>
      </c>
      <c r="T108">
        <v>128.5</v>
      </c>
      <c r="U108">
        <v>131.9</v>
      </c>
      <c r="V108" t="s">
        <v>32</v>
      </c>
      <c r="W108">
        <v>125.7</v>
      </c>
      <c r="X108">
        <v>126</v>
      </c>
      <c r="Y108">
        <v>123.1</v>
      </c>
      <c r="Z108">
        <v>114</v>
      </c>
      <c r="AA108">
        <v>121.6</v>
      </c>
      <c r="AB108">
        <v>125.6</v>
      </c>
      <c r="AC108">
        <v>114.1</v>
      </c>
      <c r="AD108">
        <v>119.8</v>
      </c>
      <c r="AE108">
        <v>127.9</v>
      </c>
    </row>
    <row r="109" spans="2:31" x14ac:dyDescent="0.3">
      <c r="B109" t="s">
        <v>33</v>
      </c>
      <c r="C109">
        <v>2015</v>
      </c>
      <c r="D109" t="s">
        <v>46</v>
      </c>
      <c r="E109">
        <v>124.3</v>
      </c>
      <c r="F109">
        <v>131.69999999999999</v>
      </c>
      <c r="G109">
        <v>127.1</v>
      </c>
      <c r="H109">
        <v>128.6</v>
      </c>
      <c r="I109">
        <v>110</v>
      </c>
      <c r="J109">
        <v>120.8</v>
      </c>
      <c r="K109">
        <v>149</v>
      </c>
      <c r="L109">
        <v>190.1</v>
      </c>
      <c r="M109">
        <v>92.7</v>
      </c>
      <c r="N109">
        <v>138.6</v>
      </c>
      <c r="O109">
        <v>120.2</v>
      </c>
      <c r="P109">
        <v>134.19999999999999</v>
      </c>
      <c r="Q109">
        <v>131.5</v>
      </c>
      <c r="R109">
        <v>138.19999999999999</v>
      </c>
      <c r="S109">
        <v>125.4</v>
      </c>
      <c r="T109">
        <v>119.5</v>
      </c>
      <c r="U109">
        <v>124.5</v>
      </c>
      <c r="V109">
        <v>122.4</v>
      </c>
      <c r="W109">
        <v>116</v>
      </c>
      <c r="X109">
        <v>121</v>
      </c>
      <c r="Y109">
        <v>118.6</v>
      </c>
      <c r="Z109">
        <v>109.3</v>
      </c>
      <c r="AA109">
        <v>118.1</v>
      </c>
      <c r="AB109">
        <v>126.6</v>
      </c>
      <c r="AC109">
        <v>113.2</v>
      </c>
      <c r="AD109">
        <v>116.7</v>
      </c>
      <c r="AE109">
        <v>124</v>
      </c>
    </row>
    <row r="110" spans="2:31" x14ac:dyDescent="0.3">
      <c r="B110" t="s">
        <v>34</v>
      </c>
      <c r="C110">
        <v>2015</v>
      </c>
      <c r="D110" t="s">
        <v>46</v>
      </c>
      <c r="E110">
        <v>125.7</v>
      </c>
      <c r="F110">
        <v>131.4</v>
      </c>
      <c r="G110">
        <v>124.8</v>
      </c>
      <c r="H110">
        <v>129.4</v>
      </c>
      <c r="I110">
        <v>115.3</v>
      </c>
      <c r="J110">
        <v>126.6</v>
      </c>
      <c r="K110">
        <v>146.69999999999999</v>
      </c>
      <c r="L110">
        <v>171.5</v>
      </c>
      <c r="M110">
        <v>94.5</v>
      </c>
      <c r="N110">
        <v>132.1</v>
      </c>
      <c r="O110">
        <v>122</v>
      </c>
      <c r="P110">
        <v>134.69999999999999</v>
      </c>
      <c r="Q110">
        <v>131.4</v>
      </c>
      <c r="R110">
        <v>134.5</v>
      </c>
      <c r="S110">
        <v>129.69999999999999</v>
      </c>
      <c r="T110">
        <v>124.8</v>
      </c>
      <c r="U110">
        <v>129</v>
      </c>
      <c r="V110">
        <v>122.4</v>
      </c>
      <c r="W110">
        <v>122</v>
      </c>
      <c r="X110">
        <v>123.6</v>
      </c>
      <c r="Y110">
        <v>121.4</v>
      </c>
      <c r="Z110">
        <v>111.5</v>
      </c>
      <c r="AA110">
        <v>119.6</v>
      </c>
      <c r="AB110">
        <v>126.2</v>
      </c>
      <c r="AC110">
        <v>113.7</v>
      </c>
      <c r="AD110">
        <v>118.3</v>
      </c>
      <c r="AE110">
        <v>126.1</v>
      </c>
    </row>
    <row r="111" spans="2:31" x14ac:dyDescent="0.3">
      <c r="B111" t="s">
        <v>30</v>
      </c>
      <c r="C111">
        <v>2016</v>
      </c>
      <c r="D111" t="s">
        <v>31</v>
      </c>
      <c r="E111">
        <v>126.8</v>
      </c>
      <c r="F111">
        <v>133.19999999999999</v>
      </c>
      <c r="G111">
        <v>126.5</v>
      </c>
      <c r="H111">
        <v>130.30000000000001</v>
      </c>
      <c r="I111">
        <v>118.9</v>
      </c>
      <c r="J111">
        <v>131.6</v>
      </c>
      <c r="K111">
        <v>140.1</v>
      </c>
      <c r="L111">
        <v>163.80000000000001</v>
      </c>
      <c r="M111">
        <v>97.7</v>
      </c>
      <c r="N111">
        <v>129.6</v>
      </c>
      <c r="O111">
        <v>124.3</v>
      </c>
      <c r="P111">
        <v>135.9</v>
      </c>
      <c r="Q111">
        <v>131.4</v>
      </c>
      <c r="R111">
        <v>133.6</v>
      </c>
      <c r="S111">
        <v>133.19999999999999</v>
      </c>
      <c r="T111">
        <v>128.9</v>
      </c>
      <c r="U111">
        <v>132.6</v>
      </c>
      <c r="V111" t="s">
        <v>32</v>
      </c>
      <c r="W111">
        <v>126.2</v>
      </c>
      <c r="X111">
        <v>126.6</v>
      </c>
      <c r="Y111">
        <v>123.7</v>
      </c>
      <c r="Z111">
        <v>113.6</v>
      </c>
      <c r="AA111">
        <v>121.4</v>
      </c>
      <c r="AB111">
        <v>126.2</v>
      </c>
      <c r="AC111">
        <v>114.9</v>
      </c>
      <c r="AD111">
        <v>120.1</v>
      </c>
      <c r="AE111">
        <v>128.1</v>
      </c>
    </row>
    <row r="112" spans="2:31" x14ac:dyDescent="0.3">
      <c r="B112" t="s">
        <v>33</v>
      </c>
      <c r="C112">
        <v>2016</v>
      </c>
      <c r="D112" t="s">
        <v>31</v>
      </c>
      <c r="E112">
        <v>124.7</v>
      </c>
      <c r="F112">
        <v>135.9</v>
      </c>
      <c r="G112">
        <v>132</v>
      </c>
      <c r="H112">
        <v>129.19999999999999</v>
      </c>
      <c r="I112">
        <v>109.7</v>
      </c>
      <c r="J112">
        <v>119</v>
      </c>
      <c r="K112">
        <v>144.1</v>
      </c>
      <c r="L112">
        <v>184.2</v>
      </c>
      <c r="M112">
        <v>96.7</v>
      </c>
      <c r="N112">
        <v>139.5</v>
      </c>
      <c r="O112">
        <v>120.5</v>
      </c>
      <c r="P112">
        <v>134.69999999999999</v>
      </c>
      <c r="Q112">
        <v>131.19999999999999</v>
      </c>
      <c r="R112">
        <v>139.5</v>
      </c>
      <c r="S112">
        <v>125.8</v>
      </c>
      <c r="T112">
        <v>119.8</v>
      </c>
      <c r="U112">
        <v>124.9</v>
      </c>
      <c r="V112">
        <v>123.4</v>
      </c>
      <c r="W112">
        <v>116.9</v>
      </c>
      <c r="X112">
        <v>121.6</v>
      </c>
      <c r="Y112">
        <v>119.1</v>
      </c>
      <c r="Z112">
        <v>108.9</v>
      </c>
      <c r="AA112">
        <v>118.5</v>
      </c>
      <c r="AB112">
        <v>126.4</v>
      </c>
      <c r="AC112">
        <v>114</v>
      </c>
      <c r="AD112">
        <v>116.8</v>
      </c>
      <c r="AE112">
        <v>124.2</v>
      </c>
    </row>
    <row r="113" spans="2:31" x14ac:dyDescent="0.3">
      <c r="B113" t="s">
        <v>34</v>
      </c>
      <c r="C113">
        <v>2016</v>
      </c>
      <c r="D113" t="s">
        <v>31</v>
      </c>
      <c r="E113">
        <v>126.1</v>
      </c>
      <c r="F113">
        <v>134.1</v>
      </c>
      <c r="G113">
        <v>128.6</v>
      </c>
      <c r="H113">
        <v>129.9</v>
      </c>
      <c r="I113">
        <v>115.5</v>
      </c>
      <c r="J113">
        <v>125.7</v>
      </c>
      <c r="K113">
        <v>141.5</v>
      </c>
      <c r="L113">
        <v>170.7</v>
      </c>
      <c r="M113">
        <v>97.4</v>
      </c>
      <c r="N113">
        <v>132.9</v>
      </c>
      <c r="O113">
        <v>122.7</v>
      </c>
      <c r="P113">
        <v>135.30000000000001</v>
      </c>
      <c r="Q113">
        <v>131.30000000000001</v>
      </c>
      <c r="R113">
        <v>135.19999999999999</v>
      </c>
      <c r="S113">
        <v>130.30000000000001</v>
      </c>
      <c r="T113">
        <v>125.1</v>
      </c>
      <c r="U113">
        <v>129.5</v>
      </c>
      <c r="V113">
        <v>123.4</v>
      </c>
      <c r="W113">
        <v>122.7</v>
      </c>
      <c r="X113">
        <v>124.2</v>
      </c>
      <c r="Y113">
        <v>122</v>
      </c>
      <c r="Z113">
        <v>111.1</v>
      </c>
      <c r="AA113">
        <v>119.8</v>
      </c>
      <c r="AB113">
        <v>126.3</v>
      </c>
      <c r="AC113">
        <v>114.5</v>
      </c>
      <c r="AD113">
        <v>118.5</v>
      </c>
      <c r="AE113">
        <v>126.3</v>
      </c>
    </row>
    <row r="114" spans="2:31" x14ac:dyDescent="0.3">
      <c r="B114" t="s">
        <v>30</v>
      </c>
      <c r="C114">
        <v>2016</v>
      </c>
      <c r="D114" t="s">
        <v>35</v>
      </c>
      <c r="E114">
        <v>127.1</v>
      </c>
      <c r="F114">
        <v>133.69999999999999</v>
      </c>
      <c r="G114">
        <v>127.7</v>
      </c>
      <c r="H114">
        <v>130.69999999999999</v>
      </c>
      <c r="I114">
        <v>118.5</v>
      </c>
      <c r="J114">
        <v>130.4</v>
      </c>
      <c r="K114">
        <v>130.9</v>
      </c>
      <c r="L114">
        <v>162.80000000000001</v>
      </c>
      <c r="M114">
        <v>98.7</v>
      </c>
      <c r="N114">
        <v>130.6</v>
      </c>
      <c r="O114">
        <v>124.8</v>
      </c>
      <c r="P114">
        <v>136.4</v>
      </c>
      <c r="Q114">
        <v>130.30000000000001</v>
      </c>
      <c r="R114">
        <v>134.4</v>
      </c>
      <c r="S114">
        <v>133.9</v>
      </c>
      <c r="T114">
        <v>129.80000000000001</v>
      </c>
      <c r="U114">
        <v>133.4</v>
      </c>
      <c r="V114" t="s">
        <v>32</v>
      </c>
      <c r="W114">
        <v>127.5</v>
      </c>
      <c r="X114">
        <v>127.1</v>
      </c>
      <c r="Y114">
        <v>124.3</v>
      </c>
      <c r="Z114">
        <v>113.9</v>
      </c>
      <c r="AA114">
        <v>122.3</v>
      </c>
      <c r="AB114">
        <v>127.1</v>
      </c>
      <c r="AC114">
        <v>116.8</v>
      </c>
      <c r="AD114">
        <v>120.9</v>
      </c>
      <c r="AE114">
        <v>127.9</v>
      </c>
    </row>
    <row r="115" spans="2:31" x14ac:dyDescent="0.3">
      <c r="B115" t="s">
        <v>33</v>
      </c>
      <c r="C115">
        <v>2016</v>
      </c>
      <c r="D115" t="s">
        <v>35</v>
      </c>
      <c r="E115">
        <v>124.8</v>
      </c>
      <c r="F115">
        <v>135.1</v>
      </c>
      <c r="G115">
        <v>130.30000000000001</v>
      </c>
      <c r="H115">
        <v>129.6</v>
      </c>
      <c r="I115">
        <v>108.4</v>
      </c>
      <c r="J115">
        <v>118.6</v>
      </c>
      <c r="K115">
        <v>129.19999999999999</v>
      </c>
      <c r="L115">
        <v>176.4</v>
      </c>
      <c r="M115">
        <v>99.1</v>
      </c>
      <c r="N115">
        <v>139.69999999999999</v>
      </c>
      <c r="O115">
        <v>120.6</v>
      </c>
      <c r="P115">
        <v>135.19999999999999</v>
      </c>
      <c r="Q115">
        <v>129.1</v>
      </c>
      <c r="R115">
        <v>140</v>
      </c>
      <c r="S115">
        <v>126.2</v>
      </c>
      <c r="T115">
        <v>120.1</v>
      </c>
      <c r="U115">
        <v>125.3</v>
      </c>
      <c r="V115">
        <v>124.4</v>
      </c>
      <c r="W115">
        <v>116</v>
      </c>
      <c r="X115">
        <v>121.8</v>
      </c>
      <c r="Y115">
        <v>119.5</v>
      </c>
      <c r="Z115">
        <v>109.1</v>
      </c>
      <c r="AA115">
        <v>118.8</v>
      </c>
      <c r="AB115">
        <v>126.3</v>
      </c>
      <c r="AC115">
        <v>116.2</v>
      </c>
      <c r="AD115">
        <v>117.2</v>
      </c>
      <c r="AE115">
        <v>123.8</v>
      </c>
    </row>
    <row r="116" spans="2:31" x14ac:dyDescent="0.3">
      <c r="B116" t="s">
        <v>34</v>
      </c>
      <c r="C116">
        <v>2016</v>
      </c>
      <c r="D116" t="s">
        <v>35</v>
      </c>
      <c r="E116">
        <v>126.4</v>
      </c>
      <c r="F116">
        <v>134.19999999999999</v>
      </c>
      <c r="G116">
        <v>128.69999999999999</v>
      </c>
      <c r="H116">
        <v>130.30000000000001</v>
      </c>
      <c r="I116">
        <v>114.8</v>
      </c>
      <c r="J116">
        <v>124.9</v>
      </c>
      <c r="K116">
        <v>130.30000000000001</v>
      </c>
      <c r="L116">
        <v>167.4</v>
      </c>
      <c r="M116">
        <v>98.8</v>
      </c>
      <c r="N116">
        <v>133.6</v>
      </c>
      <c r="O116">
        <v>123</v>
      </c>
      <c r="P116">
        <v>135.80000000000001</v>
      </c>
      <c r="Q116">
        <v>129.9</v>
      </c>
      <c r="R116">
        <v>135.9</v>
      </c>
      <c r="S116">
        <v>130.9</v>
      </c>
      <c r="T116">
        <v>125.8</v>
      </c>
      <c r="U116">
        <v>130.19999999999999</v>
      </c>
      <c r="V116">
        <v>124.4</v>
      </c>
      <c r="W116">
        <v>123.1</v>
      </c>
      <c r="X116">
        <v>124.6</v>
      </c>
      <c r="Y116">
        <v>122.5</v>
      </c>
      <c r="Z116">
        <v>111.4</v>
      </c>
      <c r="AA116">
        <v>120.3</v>
      </c>
      <c r="AB116">
        <v>126.6</v>
      </c>
      <c r="AC116">
        <v>116.6</v>
      </c>
      <c r="AD116">
        <v>119.1</v>
      </c>
      <c r="AE116">
        <v>126</v>
      </c>
    </row>
    <row r="117" spans="2:31" x14ac:dyDescent="0.3">
      <c r="B117" t="s">
        <v>30</v>
      </c>
      <c r="C117">
        <v>2016</v>
      </c>
      <c r="D117" t="s">
        <v>36</v>
      </c>
      <c r="E117">
        <v>127.3</v>
      </c>
      <c r="F117">
        <v>134.4</v>
      </c>
      <c r="G117">
        <v>125.1</v>
      </c>
      <c r="H117">
        <v>130.5</v>
      </c>
      <c r="I117">
        <v>118.3</v>
      </c>
      <c r="J117">
        <v>131.69999999999999</v>
      </c>
      <c r="K117">
        <v>130.69999999999999</v>
      </c>
      <c r="L117">
        <v>161.19999999999999</v>
      </c>
      <c r="M117">
        <v>100.4</v>
      </c>
      <c r="N117">
        <v>130.80000000000001</v>
      </c>
      <c r="O117">
        <v>124.9</v>
      </c>
      <c r="P117">
        <v>137</v>
      </c>
      <c r="Q117">
        <v>130.4</v>
      </c>
      <c r="R117">
        <v>135</v>
      </c>
      <c r="S117">
        <v>134.4</v>
      </c>
      <c r="T117">
        <v>130.19999999999999</v>
      </c>
      <c r="U117">
        <v>133.80000000000001</v>
      </c>
      <c r="V117" t="s">
        <v>32</v>
      </c>
      <c r="W117">
        <v>127</v>
      </c>
      <c r="X117">
        <v>127.7</v>
      </c>
      <c r="Y117">
        <v>124.8</v>
      </c>
      <c r="Z117">
        <v>113.6</v>
      </c>
      <c r="AA117">
        <v>122.5</v>
      </c>
      <c r="AB117">
        <v>127.5</v>
      </c>
      <c r="AC117">
        <v>117.4</v>
      </c>
      <c r="AD117">
        <v>121.1</v>
      </c>
      <c r="AE117">
        <v>128</v>
      </c>
    </row>
    <row r="118" spans="2:31" x14ac:dyDescent="0.3">
      <c r="B118" t="s">
        <v>33</v>
      </c>
      <c r="C118">
        <v>2016</v>
      </c>
      <c r="D118" t="s">
        <v>36</v>
      </c>
      <c r="E118">
        <v>124.8</v>
      </c>
      <c r="F118">
        <v>136.30000000000001</v>
      </c>
      <c r="G118">
        <v>123.7</v>
      </c>
      <c r="H118">
        <v>129.69999999999999</v>
      </c>
      <c r="I118">
        <v>107.9</v>
      </c>
      <c r="J118">
        <v>119.9</v>
      </c>
      <c r="K118">
        <v>128.1</v>
      </c>
      <c r="L118">
        <v>170.3</v>
      </c>
      <c r="M118">
        <v>101.8</v>
      </c>
      <c r="N118">
        <v>140.1</v>
      </c>
      <c r="O118">
        <v>120.7</v>
      </c>
      <c r="P118">
        <v>135.4</v>
      </c>
      <c r="Q118">
        <v>128.9</v>
      </c>
      <c r="R118">
        <v>140.6</v>
      </c>
      <c r="S118">
        <v>126.4</v>
      </c>
      <c r="T118">
        <v>120.3</v>
      </c>
      <c r="U118">
        <v>125.5</v>
      </c>
      <c r="V118">
        <v>124.9</v>
      </c>
      <c r="W118">
        <v>114.8</v>
      </c>
      <c r="X118">
        <v>122.3</v>
      </c>
      <c r="Y118">
        <v>119.7</v>
      </c>
      <c r="Z118">
        <v>108.5</v>
      </c>
      <c r="AA118">
        <v>119.1</v>
      </c>
      <c r="AB118">
        <v>126.4</v>
      </c>
      <c r="AC118">
        <v>117.1</v>
      </c>
      <c r="AD118">
        <v>117.3</v>
      </c>
      <c r="AE118">
        <v>123.8</v>
      </c>
    </row>
    <row r="119" spans="2:31" x14ac:dyDescent="0.3">
      <c r="B119" t="s">
        <v>34</v>
      </c>
      <c r="C119">
        <v>2016</v>
      </c>
      <c r="D119" t="s">
        <v>36</v>
      </c>
      <c r="E119">
        <v>126.5</v>
      </c>
      <c r="F119">
        <v>135.1</v>
      </c>
      <c r="G119">
        <v>124.6</v>
      </c>
      <c r="H119">
        <v>130.19999999999999</v>
      </c>
      <c r="I119">
        <v>114.5</v>
      </c>
      <c r="J119">
        <v>126.2</v>
      </c>
      <c r="K119">
        <v>129.80000000000001</v>
      </c>
      <c r="L119">
        <v>164.3</v>
      </c>
      <c r="M119">
        <v>100.9</v>
      </c>
      <c r="N119">
        <v>133.9</v>
      </c>
      <c r="O119">
        <v>123.1</v>
      </c>
      <c r="P119">
        <v>136.30000000000001</v>
      </c>
      <c r="Q119">
        <v>129.80000000000001</v>
      </c>
      <c r="R119">
        <v>136.5</v>
      </c>
      <c r="S119">
        <v>131.30000000000001</v>
      </c>
      <c r="T119">
        <v>126.1</v>
      </c>
      <c r="U119">
        <v>130.5</v>
      </c>
      <c r="V119">
        <v>124.9</v>
      </c>
      <c r="W119">
        <v>122.4</v>
      </c>
      <c r="X119">
        <v>125.1</v>
      </c>
      <c r="Y119">
        <v>122.9</v>
      </c>
      <c r="Z119">
        <v>110.9</v>
      </c>
      <c r="AA119">
        <v>120.6</v>
      </c>
      <c r="AB119">
        <v>126.9</v>
      </c>
      <c r="AC119">
        <v>117.3</v>
      </c>
      <c r="AD119">
        <v>119.3</v>
      </c>
      <c r="AE119">
        <v>126</v>
      </c>
    </row>
    <row r="120" spans="2:31" x14ac:dyDescent="0.3">
      <c r="B120" t="s">
        <v>30</v>
      </c>
      <c r="C120">
        <v>2016</v>
      </c>
      <c r="D120" t="s">
        <v>37</v>
      </c>
      <c r="E120">
        <v>127.4</v>
      </c>
      <c r="F120">
        <v>135.4</v>
      </c>
      <c r="G120">
        <v>123.4</v>
      </c>
      <c r="H120">
        <v>131.30000000000001</v>
      </c>
      <c r="I120">
        <v>118.2</v>
      </c>
      <c r="J120">
        <v>138.1</v>
      </c>
      <c r="K120">
        <v>134.1</v>
      </c>
      <c r="L120">
        <v>162.69999999999999</v>
      </c>
      <c r="M120">
        <v>105</v>
      </c>
      <c r="N120">
        <v>131.4</v>
      </c>
      <c r="O120">
        <v>125.4</v>
      </c>
      <c r="P120">
        <v>137.4</v>
      </c>
      <c r="Q120">
        <v>131.80000000000001</v>
      </c>
      <c r="R120">
        <v>135.5</v>
      </c>
      <c r="S120">
        <v>135</v>
      </c>
      <c r="T120">
        <v>130.6</v>
      </c>
      <c r="U120">
        <v>134.4</v>
      </c>
      <c r="V120" t="s">
        <v>32</v>
      </c>
      <c r="W120">
        <v>127</v>
      </c>
      <c r="X120">
        <v>128</v>
      </c>
      <c r="Y120">
        <v>125.2</v>
      </c>
      <c r="Z120">
        <v>114.4</v>
      </c>
      <c r="AA120">
        <v>123.2</v>
      </c>
      <c r="AB120">
        <v>127.9</v>
      </c>
      <c r="AC120">
        <v>118.4</v>
      </c>
      <c r="AD120">
        <v>121.7</v>
      </c>
      <c r="AE120">
        <v>129</v>
      </c>
    </row>
    <row r="121" spans="2:31" x14ac:dyDescent="0.3">
      <c r="B121" t="s">
        <v>33</v>
      </c>
      <c r="C121">
        <v>2016</v>
      </c>
      <c r="D121" t="s">
        <v>37</v>
      </c>
      <c r="E121">
        <v>124.9</v>
      </c>
      <c r="F121">
        <v>139.30000000000001</v>
      </c>
      <c r="G121">
        <v>119.9</v>
      </c>
      <c r="H121">
        <v>130.19999999999999</v>
      </c>
      <c r="I121">
        <v>108.9</v>
      </c>
      <c r="J121">
        <v>131.1</v>
      </c>
      <c r="K121">
        <v>136.80000000000001</v>
      </c>
      <c r="L121">
        <v>176.9</v>
      </c>
      <c r="M121">
        <v>109.1</v>
      </c>
      <c r="N121">
        <v>140.4</v>
      </c>
      <c r="O121">
        <v>121.1</v>
      </c>
      <c r="P121">
        <v>135.9</v>
      </c>
      <c r="Q121">
        <v>131.80000000000001</v>
      </c>
      <c r="R121">
        <v>141.5</v>
      </c>
      <c r="S121">
        <v>126.8</v>
      </c>
      <c r="T121">
        <v>120.5</v>
      </c>
      <c r="U121">
        <v>125.8</v>
      </c>
      <c r="V121">
        <v>125.6</v>
      </c>
      <c r="W121">
        <v>114.6</v>
      </c>
      <c r="X121">
        <v>122.8</v>
      </c>
      <c r="Y121">
        <v>120</v>
      </c>
      <c r="Z121">
        <v>110</v>
      </c>
      <c r="AA121">
        <v>119.5</v>
      </c>
      <c r="AB121">
        <v>127.6</v>
      </c>
      <c r="AC121">
        <v>117.6</v>
      </c>
      <c r="AD121">
        <v>118.2</v>
      </c>
      <c r="AE121">
        <v>125.3</v>
      </c>
    </row>
    <row r="122" spans="2:31" x14ac:dyDescent="0.3">
      <c r="B122" t="s">
        <v>34</v>
      </c>
      <c r="C122">
        <v>2016</v>
      </c>
      <c r="D122" t="s">
        <v>37</v>
      </c>
      <c r="E122">
        <v>126.6</v>
      </c>
      <c r="F122">
        <v>136.80000000000001</v>
      </c>
      <c r="G122">
        <v>122</v>
      </c>
      <c r="H122">
        <v>130.9</v>
      </c>
      <c r="I122">
        <v>114.8</v>
      </c>
      <c r="J122">
        <v>134.80000000000001</v>
      </c>
      <c r="K122">
        <v>135</v>
      </c>
      <c r="L122">
        <v>167.5</v>
      </c>
      <c r="M122">
        <v>106.4</v>
      </c>
      <c r="N122">
        <v>134.4</v>
      </c>
      <c r="O122">
        <v>123.6</v>
      </c>
      <c r="P122">
        <v>136.69999999999999</v>
      </c>
      <c r="Q122">
        <v>131.80000000000001</v>
      </c>
      <c r="R122">
        <v>137.1</v>
      </c>
      <c r="S122">
        <v>131.80000000000001</v>
      </c>
      <c r="T122">
        <v>126.4</v>
      </c>
      <c r="U122">
        <v>131</v>
      </c>
      <c r="V122">
        <v>125.6</v>
      </c>
      <c r="W122">
        <v>122.3</v>
      </c>
      <c r="X122">
        <v>125.5</v>
      </c>
      <c r="Y122">
        <v>123.2</v>
      </c>
      <c r="Z122">
        <v>112.1</v>
      </c>
      <c r="AA122">
        <v>121.1</v>
      </c>
      <c r="AB122">
        <v>127.7</v>
      </c>
      <c r="AC122">
        <v>118.1</v>
      </c>
      <c r="AD122">
        <v>120</v>
      </c>
      <c r="AE122">
        <v>127.3</v>
      </c>
    </row>
    <row r="123" spans="2:31" x14ac:dyDescent="0.3">
      <c r="B123" t="s">
        <v>30</v>
      </c>
      <c r="C123">
        <v>2016</v>
      </c>
      <c r="D123" t="s">
        <v>38</v>
      </c>
      <c r="E123">
        <v>127.6</v>
      </c>
      <c r="F123">
        <v>137.5</v>
      </c>
      <c r="G123">
        <v>124.4</v>
      </c>
      <c r="H123">
        <v>132.4</v>
      </c>
      <c r="I123">
        <v>118.2</v>
      </c>
      <c r="J123">
        <v>138.1</v>
      </c>
      <c r="K123">
        <v>141.80000000000001</v>
      </c>
      <c r="L123">
        <v>166</v>
      </c>
      <c r="M123">
        <v>107.5</v>
      </c>
      <c r="N123">
        <v>132.19999999999999</v>
      </c>
      <c r="O123">
        <v>126.1</v>
      </c>
      <c r="P123">
        <v>138.30000000000001</v>
      </c>
      <c r="Q123">
        <v>133.6</v>
      </c>
      <c r="R123">
        <v>136</v>
      </c>
      <c r="S123">
        <v>135.4</v>
      </c>
      <c r="T123">
        <v>131.1</v>
      </c>
      <c r="U123">
        <v>134.80000000000001</v>
      </c>
      <c r="V123" t="s">
        <v>32</v>
      </c>
      <c r="W123">
        <v>127.4</v>
      </c>
      <c r="X123">
        <v>128.5</v>
      </c>
      <c r="Y123">
        <v>125.8</v>
      </c>
      <c r="Z123">
        <v>115.1</v>
      </c>
      <c r="AA123">
        <v>123.6</v>
      </c>
      <c r="AB123">
        <v>129.1</v>
      </c>
      <c r="AC123">
        <v>119.7</v>
      </c>
      <c r="AD123">
        <v>122.5</v>
      </c>
      <c r="AE123">
        <v>130.30000000000001</v>
      </c>
    </row>
    <row r="124" spans="2:31" x14ac:dyDescent="0.3">
      <c r="B124" t="s">
        <v>33</v>
      </c>
      <c r="C124">
        <v>2016</v>
      </c>
      <c r="D124" t="s">
        <v>38</v>
      </c>
      <c r="E124">
        <v>125</v>
      </c>
      <c r="F124">
        <v>142.1</v>
      </c>
      <c r="G124">
        <v>127</v>
      </c>
      <c r="H124">
        <v>130.4</v>
      </c>
      <c r="I124">
        <v>109.6</v>
      </c>
      <c r="J124">
        <v>133.5</v>
      </c>
      <c r="K124">
        <v>151.4</v>
      </c>
      <c r="L124">
        <v>182.8</v>
      </c>
      <c r="M124">
        <v>111.1</v>
      </c>
      <c r="N124">
        <v>141.5</v>
      </c>
      <c r="O124">
        <v>121.5</v>
      </c>
      <c r="P124">
        <v>136.30000000000001</v>
      </c>
      <c r="Q124">
        <v>134.6</v>
      </c>
      <c r="R124">
        <v>142.19999999999999</v>
      </c>
      <c r="S124">
        <v>127.2</v>
      </c>
      <c r="T124">
        <v>120.7</v>
      </c>
      <c r="U124">
        <v>126.2</v>
      </c>
      <c r="V124">
        <v>126</v>
      </c>
      <c r="W124">
        <v>115</v>
      </c>
      <c r="X124">
        <v>123.2</v>
      </c>
      <c r="Y124">
        <v>120.3</v>
      </c>
      <c r="Z124">
        <v>110.7</v>
      </c>
      <c r="AA124">
        <v>119.8</v>
      </c>
      <c r="AB124">
        <v>128</v>
      </c>
      <c r="AC124">
        <v>118.5</v>
      </c>
      <c r="AD124">
        <v>118.7</v>
      </c>
      <c r="AE124">
        <v>126.6</v>
      </c>
    </row>
    <row r="125" spans="2:31" x14ac:dyDescent="0.3">
      <c r="B125" t="s">
        <v>34</v>
      </c>
      <c r="C125">
        <v>2016</v>
      </c>
      <c r="D125" t="s">
        <v>38</v>
      </c>
      <c r="E125">
        <v>126.8</v>
      </c>
      <c r="F125">
        <v>139.1</v>
      </c>
      <c r="G125">
        <v>125.4</v>
      </c>
      <c r="H125">
        <v>131.69999999999999</v>
      </c>
      <c r="I125">
        <v>115</v>
      </c>
      <c r="J125">
        <v>136</v>
      </c>
      <c r="K125">
        <v>145.1</v>
      </c>
      <c r="L125">
        <v>171.7</v>
      </c>
      <c r="M125">
        <v>108.7</v>
      </c>
      <c r="N125">
        <v>135.30000000000001</v>
      </c>
      <c r="O125">
        <v>124.2</v>
      </c>
      <c r="P125">
        <v>137.4</v>
      </c>
      <c r="Q125">
        <v>134</v>
      </c>
      <c r="R125">
        <v>137.69999999999999</v>
      </c>
      <c r="S125">
        <v>132.19999999999999</v>
      </c>
      <c r="T125">
        <v>126.8</v>
      </c>
      <c r="U125">
        <v>131.4</v>
      </c>
      <c r="V125">
        <v>126</v>
      </c>
      <c r="W125">
        <v>122.7</v>
      </c>
      <c r="X125">
        <v>126</v>
      </c>
      <c r="Y125">
        <v>123.7</v>
      </c>
      <c r="Z125">
        <v>112.8</v>
      </c>
      <c r="AA125">
        <v>121.5</v>
      </c>
      <c r="AB125">
        <v>128.5</v>
      </c>
      <c r="AC125">
        <v>119.2</v>
      </c>
      <c r="AD125">
        <v>120.7</v>
      </c>
      <c r="AE125">
        <v>128.6</v>
      </c>
    </row>
    <row r="126" spans="2:31" x14ac:dyDescent="0.3">
      <c r="B126" t="s">
        <v>30</v>
      </c>
      <c r="C126">
        <v>2016</v>
      </c>
      <c r="D126" t="s">
        <v>39</v>
      </c>
      <c r="E126">
        <v>128.6</v>
      </c>
      <c r="F126">
        <v>138.6</v>
      </c>
      <c r="G126">
        <v>126.6</v>
      </c>
      <c r="H126">
        <v>133.6</v>
      </c>
      <c r="I126">
        <v>118.6</v>
      </c>
      <c r="J126">
        <v>137.4</v>
      </c>
      <c r="K126">
        <v>152.5</v>
      </c>
      <c r="L126">
        <v>169.2</v>
      </c>
      <c r="M126">
        <v>108.8</v>
      </c>
      <c r="N126">
        <v>133.1</v>
      </c>
      <c r="O126">
        <v>126.4</v>
      </c>
      <c r="P126">
        <v>139.19999999999999</v>
      </c>
      <c r="Q126">
        <v>136</v>
      </c>
      <c r="R126">
        <v>137.19999999999999</v>
      </c>
      <c r="S126">
        <v>136.30000000000001</v>
      </c>
      <c r="T126">
        <v>131.6</v>
      </c>
      <c r="U126">
        <v>135.6</v>
      </c>
      <c r="V126" t="s">
        <v>32</v>
      </c>
      <c r="W126">
        <v>128</v>
      </c>
      <c r="X126">
        <v>129.30000000000001</v>
      </c>
      <c r="Y126">
        <v>126.2</v>
      </c>
      <c r="Z126">
        <v>116.3</v>
      </c>
      <c r="AA126">
        <v>124.1</v>
      </c>
      <c r="AB126">
        <v>130.19999999999999</v>
      </c>
      <c r="AC126">
        <v>119.9</v>
      </c>
      <c r="AD126">
        <v>123.3</v>
      </c>
      <c r="AE126">
        <v>131.9</v>
      </c>
    </row>
    <row r="127" spans="2:31" x14ac:dyDescent="0.3">
      <c r="B127" t="s">
        <v>33</v>
      </c>
      <c r="C127">
        <v>2016</v>
      </c>
      <c r="D127" t="s">
        <v>39</v>
      </c>
      <c r="E127">
        <v>125.9</v>
      </c>
      <c r="F127">
        <v>143.9</v>
      </c>
      <c r="G127">
        <v>130.9</v>
      </c>
      <c r="H127">
        <v>131</v>
      </c>
      <c r="I127">
        <v>110.2</v>
      </c>
      <c r="J127">
        <v>135.5</v>
      </c>
      <c r="K127">
        <v>173.7</v>
      </c>
      <c r="L127">
        <v>184.4</v>
      </c>
      <c r="M127">
        <v>112</v>
      </c>
      <c r="N127">
        <v>142.80000000000001</v>
      </c>
      <c r="O127">
        <v>121.6</v>
      </c>
      <c r="P127">
        <v>136.9</v>
      </c>
      <c r="Q127">
        <v>138.19999999999999</v>
      </c>
      <c r="R127">
        <v>142.69999999999999</v>
      </c>
      <c r="S127">
        <v>127.6</v>
      </c>
      <c r="T127">
        <v>121.1</v>
      </c>
      <c r="U127">
        <v>126.6</v>
      </c>
      <c r="V127">
        <v>125.5</v>
      </c>
      <c r="W127">
        <v>115.5</v>
      </c>
      <c r="X127">
        <v>123.2</v>
      </c>
      <c r="Y127">
        <v>120.6</v>
      </c>
      <c r="Z127">
        <v>112.3</v>
      </c>
      <c r="AA127">
        <v>119.9</v>
      </c>
      <c r="AB127">
        <v>129.30000000000001</v>
      </c>
      <c r="AC127">
        <v>118.8</v>
      </c>
      <c r="AD127">
        <v>119.6</v>
      </c>
      <c r="AE127">
        <v>128.1</v>
      </c>
    </row>
    <row r="128" spans="2:31" x14ac:dyDescent="0.3">
      <c r="B128" t="s">
        <v>34</v>
      </c>
      <c r="C128">
        <v>2016</v>
      </c>
      <c r="D128" t="s">
        <v>39</v>
      </c>
      <c r="E128">
        <v>127.7</v>
      </c>
      <c r="F128">
        <v>140.5</v>
      </c>
      <c r="G128">
        <v>128.30000000000001</v>
      </c>
      <c r="H128">
        <v>132.6</v>
      </c>
      <c r="I128">
        <v>115.5</v>
      </c>
      <c r="J128">
        <v>136.5</v>
      </c>
      <c r="K128">
        <v>159.69999999999999</v>
      </c>
      <c r="L128">
        <v>174.3</v>
      </c>
      <c r="M128">
        <v>109.9</v>
      </c>
      <c r="N128">
        <v>136.30000000000001</v>
      </c>
      <c r="O128">
        <v>124.4</v>
      </c>
      <c r="P128">
        <v>138.1</v>
      </c>
      <c r="Q128">
        <v>136.80000000000001</v>
      </c>
      <c r="R128">
        <v>138.69999999999999</v>
      </c>
      <c r="S128">
        <v>132.9</v>
      </c>
      <c r="T128">
        <v>127.2</v>
      </c>
      <c r="U128">
        <v>132</v>
      </c>
      <c r="V128">
        <v>125.5</v>
      </c>
      <c r="W128">
        <v>123.3</v>
      </c>
      <c r="X128">
        <v>126.4</v>
      </c>
      <c r="Y128">
        <v>124.1</v>
      </c>
      <c r="Z128">
        <v>114.2</v>
      </c>
      <c r="AA128">
        <v>121.7</v>
      </c>
      <c r="AB128">
        <v>129.69999999999999</v>
      </c>
      <c r="AC128">
        <v>119.4</v>
      </c>
      <c r="AD128">
        <v>121.5</v>
      </c>
      <c r="AE128">
        <v>130.1</v>
      </c>
    </row>
    <row r="129" spans="2:31" x14ac:dyDescent="0.3">
      <c r="B129" t="s">
        <v>30</v>
      </c>
      <c r="C129">
        <v>2016</v>
      </c>
      <c r="D129" t="s">
        <v>40</v>
      </c>
      <c r="E129">
        <v>129.30000000000001</v>
      </c>
      <c r="F129">
        <v>139.5</v>
      </c>
      <c r="G129">
        <v>129.6</v>
      </c>
      <c r="H129">
        <v>134.5</v>
      </c>
      <c r="I129">
        <v>119.5</v>
      </c>
      <c r="J129">
        <v>138.5</v>
      </c>
      <c r="K129">
        <v>158.19999999999999</v>
      </c>
      <c r="L129">
        <v>171.8</v>
      </c>
      <c r="M129">
        <v>110.3</v>
      </c>
      <c r="N129">
        <v>134.30000000000001</v>
      </c>
      <c r="O129">
        <v>127.3</v>
      </c>
      <c r="P129">
        <v>139.9</v>
      </c>
      <c r="Q129">
        <v>137.6</v>
      </c>
      <c r="R129">
        <v>138</v>
      </c>
      <c r="S129">
        <v>137.19999999999999</v>
      </c>
      <c r="T129">
        <v>132.19999999999999</v>
      </c>
      <c r="U129">
        <v>136.5</v>
      </c>
      <c r="V129" t="s">
        <v>32</v>
      </c>
      <c r="W129">
        <v>128.19999999999999</v>
      </c>
      <c r="X129">
        <v>130</v>
      </c>
      <c r="Y129">
        <v>126.7</v>
      </c>
      <c r="Z129">
        <v>116.4</v>
      </c>
      <c r="AA129">
        <v>125.2</v>
      </c>
      <c r="AB129">
        <v>130.80000000000001</v>
      </c>
      <c r="AC129">
        <v>120.9</v>
      </c>
      <c r="AD129">
        <v>123.8</v>
      </c>
      <c r="AE129">
        <v>133</v>
      </c>
    </row>
    <row r="130" spans="2:31" x14ac:dyDescent="0.3">
      <c r="B130" t="s">
        <v>33</v>
      </c>
      <c r="C130">
        <v>2016</v>
      </c>
      <c r="D130" t="s">
        <v>40</v>
      </c>
      <c r="E130">
        <v>126.8</v>
      </c>
      <c r="F130">
        <v>144.19999999999999</v>
      </c>
      <c r="G130">
        <v>136.6</v>
      </c>
      <c r="H130">
        <v>131.80000000000001</v>
      </c>
      <c r="I130">
        <v>111</v>
      </c>
      <c r="J130">
        <v>137</v>
      </c>
      <c r="K130">
        <v>179.5</v>
      </c>
      <c r="L130">
        <v>188.4</v>
      </c>
      <c r="M130">
        <v>113.3</v>
      </c>
      <c r="N130">
        <v>143.9</v>
      </c>
      <c r="O130">
        <v>121.7</v>
      </c>
      <c r="P130">
        <v>137.5</v>
      </c>
      <c r="Q130">
        <v>139.80000000000001</v>
      </c>
      <c r="R130">
        <v>142.9</v>
      </c>
      <c r="S130">
        <v>127.9</v>
      </c>
      <c r="T130">
        <v>121.1</v>
      </c>
      <c r="U130">
        <v>126.9</v>
      </c>
      <c r="V130">
        <v>126.4</v>
      </c>
      <c r="W130">
        <v>115.5</v>
      </c>
      <c r="X130">
        <v>123.5</v>
      </c>
      <c r="Y130">
        <v>120.9</v>
      </c>
      <c r="Z130">
        <v>111.7</v>
      </c>
      <c r="AA130">
        <v>120.3</v>
      </c>
      <c r="AB130">
        <v>130.80000000000001</v>
      </c>
      <c r="AC130">
        <v>120</v>
      </c>
      <c r="AD130">
        <v>119.9</v>
      </c>
      <c r="AE130">
        <v>129</v>
      </c>
    </row>
    <row r="131" spans="2:31" x14ac:dyDescent="0.3">
      <c r="B131" t="s">
        <v>34</v>
      </c>
      <c r="C131">
        <v>2016</v>
      </c>
      <c r="D131" t="s">
        <v>40</v>
      </c>
      <c r="E131">
        <v>128.5</v>
      </c>
      <c r="F131">
        <v>141.19999999999999</v>
      </c>
      <c r="G131">
        <v>132.30000000000001</v>
      </c>
      <c r="H131">
        <v>133.5</v>
      </c>
      <c r="I131">
        <v>116.4</v>
      </c>
      <c r="J131">
        <v>137.80000000000001</v>
      </c>
      <c r="K131">
        <v>165.4</v>
      </c>
      <c r="L131">
        <v>177.4</v>
      </c>
      <c r="M131">
        <v>111.3</v>
      </c>
      <c r="N131">
        <v>137.5</v>
      </c>
      <c r="O131">
        <v>125</v>
      </c>
      <c r="P131">
        <v>138.80000000000001</v>
      </c>
      <c r="Q131">
        <v>138.4</v>
      </c>
      <c r="R131">
        <v>139.30000000000001</v>
      </c>
      <c r="S131">
        <v>133.5</v>
      </c>
      <c r="T131">
        <v>127.6</v>
      </c>
      <c r="U131">
        <v>132.69999999999999</v>
      </c>
      <c r="V131">
        <v>126.4</v>
      </c>
      <c r="W131">
        <v>123.4</v>
      </c>
      <c r="X131">
        <v>126.9</v>
      </c>
      <c r="Y131">
        <v>124.5</v>
      </c>
      <c r="Z131">
        <v>113.9</v>
      </c>
      <c r="AA131">
        <v>122.4</v>
      </c>
      <c r="AB131">
        <v>130.80000000000001</v>
      </c>
      <c r="AC131">
        <v>120.5</v>
      </c>
      <c r="AD131">
        <v>121.9</v>
      </c>
      <c r="AE131">
        <v>131.1</v>
      </c>
    </row>
    <row r="132" spans="2:31" x14ac:dyDescent="0.3">
      <c r="B132" t="s">
        <v>30</v>
      </c>
      <c r="C132">
        <v>2016</v>
      </c>
      <c r="D132" t="s">
        <v>41</v>
      </c>
      <c r="E132">
        <v>130.1</v>
      </c>
      <c r="F132">
        <v>138.80000000000001</v>
      </c>
      <c r="G132">
        <v>130.30000000000001</v>
      </c>
      <c r="H132">
        <v>135.30000000000001</v>
      </c>
      <c r="I132">
        <v>119.9</v>
      </c>
      <c r="J132">
        <v>140.19999999999999</v>
      </c>
      <c r="K132">
        <v>156.9</v>
      </c>
      <c r="L132">
        <v>172.2</v>
      </c>
      <c r="M132">
        <v>112.1</v>
      </c>
      <c r="N132">
        <v>134.9</v>
      </c>
      <c r="O132">
        <v>128.1</v>
      </c>
      <c r="P132">
        <v>140.69999999999999</v>
      </c>
      <c r="Q132">
        <v>138</v>
      </c>
      <c r="R132">
        <v>138.9</v>
      </c>
      <c r="S132">
        <v>137.80000000000001</v>
      </c>
      <c r="T132">
        <v>133</v>
      </c>
      <c r="U132">
        <v>137.1</v>
      </c>
      <c r="V132" t="s">
        <v>32</v>
      </c>
      <c r="W132">
        <v>129.1</v>
      </c>
      <c r="X132">
        <v>130.6</v>
      </c>
      <c r="Y132">
        <v>127</v>
      </c>
      <c r="Z132">
        <v>116</v>
      </c>
      <c r="AA132">
        <v>125.5</v>
      </c>
      <c r="AB132">
        <v>131.9</v>
      </c>
      <c r="AC132">
        <v>122</v>
      </c>
      <c r="AD132">
        <v>124.2</v>
      </c>
      <c r="AE132">
        <v>133.5</v>
      </c>
    </row>
    <row r="133" spans="2:31" x14ac:dyDescent="0.3">
      <c r="B133" t="s">
        <v>33</v>
      </c>
      <c r="C133">
        <v>2016</v>
      </c>
      <c r="D133" t="s">
        <v>41</v>
      </c>
      <c r="E133">
        <v>127.6</v>
      </c>
      <c r="F133">
        <v>140.30000000000001</v>
      </c>
      <c r="G133">
        <v>133.69999999999999</v>
      </c>
      <c r="H133">
        <v>132.19999999999999</v>
      </c>
      <c r="I133">
        <v>111.8</v>
      </c>
      <c r="J133">
        <v>135.80000000000001</v>
      </c>
      <c r="K133">
        <v>163.5</v>
      </c>
      <c r="L133">
        <v>182.3</v>
      </c>
      <c r="M133">
        <v>114.6</v>
      </c>
      <c r="N133">
        <v>144.6</v>
      </c>
      <c r="O133">
        <v>121.9</v>
      </c>
      <c r="P133">
        <v>138.1</v>
      </c>
      <c r="Q133">
        <v>137.6</v>
      </c>
      <c r="R133">
        <v>143.6</v>
      </c>
      <c r="S133">
        <v>128.30000000000001</v>
      </c>
      <c r="T133">
        <v>121.4</v>
      </c>
      <c r="U133">
        <v>127.3</v>
      </c>
      <c r="V133">
        <v>127.3</v>
      </c>
      <c r="W133">
        <v>114.7</v>
      </c>
      <c r="X133">
        <v>123.9</v>
      </c>
      <c r="Y133">
        <v>121.2</v>
      </c>
      <c r="Z133">
        <v>110.4</v>
      </c>
      <c r="AA133">
        <v>120.6</v>
      </c>
      <c r="AB133">
        <v>131.5</v>
      </c>
      <c r="AC133">
        <v>120.9</v>
      </c>
      <c r="AD133">
        <v>119.9</v>
      </c>
      <c r="AE133">
        <v>128.4</v>
      </c>
    </row>
    <row r="134" spans="2:31" x14ac:dyDescent="0.3">
      <c r="B134" t="s">
        <v>34</v>
      </c>
      <c r="C134">
        <v>2016</v>
      </c>
      <c r="D134" t="s">
        <v>41</v>
      </c>
      <c r="E134">
        <v>129.30000000000001</v>
      </c>
      <c r="F134">
        <v>139.30000000000001</v>
      </c>
      <c r="G134">
        <v>131.6</v>
      </c>
      <c r="H134">
        <v>134.1</v>
      </c>
      <c r="I134">
        <v>116.9</v>
      </c>
      <c r="J134">
        <v>138.1</v>
      </c>
      <c r="K134">
        <v>159.1</v>
      </c>
      <c r="L134">
        <v>175.6</v>
      </c>
      <c r="M134">
        <v>112.9</v>
      </c>
      <c r="N134">
        <v>138.1</v>
      </c>
      <c r="O134">
        <v>125.5</v>
      </c>
      <c r="P134">
        <v>139.5</v>
      </c>
      <c r="Q134">
        <v>137.9</v>
      </c>
      <c r="R134">
        <v>140.19999999999999</v>
      </c>
      <c r="S134">
        <v>134.1</v>
      </c>
      <c r="T134">
        <v>128.19999999999999</v>
      </c>
      <c r="U134">
        <v>133.19999999999999</v>
      </c>
      <c r="V134">
        <v>127.3</v>
      </c>
      <c r="W134">
        <v>123.6</v>
      </c>
      <c r="X134">
        <v>127.4</v>
      </c>
      <c r="Y134">
        <v>124.8</v>
      </c>
      <c r="Z134">
        <v>113.1</v>
      </c>
      <c r="AA134">
        <v>122.7</v>
      </c>
      <c r="AB134">
        <v>131.69999999999999</v>
      </c>
      <c r="AC134">
        <v>121.5</v>
      </c>
      <c r="AD134">
        <v>122.1</v>
      </c>
      <c r="AE134">
        <v>131.1</v>
      </c>
    </row>
    <row r="135" spans="2:31" x14ac:dyDescent="0.3">
      <c r="B135" t="s">
        <v>30</v>
      </c>
      <c r="C135">
        <v>2016</v>
      </c>
      <c r="D135" t="s">
        <v>42</v>
      </c>
      <c r="E135">
        <v>130.80000000000001</v>
      </c>
      <c r="F135">
        <v>138.19999999999999</v>
      </c>
      <c r="G135">
        <v>130.5</v>
      </c>
      <c r="H135">
        <v>135.5</v>
      </c>
      <c r="I135">
        <v>120.2</v>
      </c>
      <c r="J135">
        <v>139.19999999999999</v>
      </c>
      <c r="K135">
        <v>149.5</v>
      </c>
      <c r="L135">
        <v>170.4</v>
      </c>
      <c r="M135">
        <v>113.1</v>
      </c>
      <c r="N135">
        <v>135.80000000000001</v>
      </c>
      <c r="O135">
        <v>128.80000000000001</v>
      </c>
      <c r="P135">
        <v>141.5</v>
      </c>
      <c r="Q135">
        <v>137.19999999999999</v>
      </c>
      <c r="R135">
        <v>139.9</v>
      </c>
      <c r="S135">
        <v>138.5</v>
      </c>
      <c r="T135">
        <v>133.5</v>
      </c>
      <c r="U135">
        <v>137.80000000000001</v>
      </c>
      <c r="V135" t="s">
        <v>32</v>
      </c>
      <c r="W135">
        <v>129.69999999999999</v>
      </c>
      <c r="X135">
        <v>131.1</v>
      </c>
      <c r="Y135">
        <v>127.8</v>
      </c>
      <c r="Z135">
        <v>117</v>
      </c>
      <c r="AA135">
        <v>125.7</v>
      </c>
      <c r="AB135">
        <v>132.19999999999999</v>
      </c>
      <c r="AC135">
        <v>122.8</v>
      </c>
      <c r="AD135">
        <v>124.9</v>
      </c>
      <c r="AE135">
        <v>133.4</v>
      </c>
    </row>
    <row r="136" spans="2:31" x14ac:dyDescent="0.3">
      <c r="B136" t="s">
        <v>33</v>
      </c>
      <c r="C136">
        <v>2016</v>
      </c>
      <c r="D136" t="s">
        <v>42</v>
      </c>
      <c r="E136">
        <v>128.1</v>
      </c>
      <c r="F136">
        <v>137.69999999999999</v>
      </c>
      <c r="G136">
        <v>130.6</v>
      </c>
      <c r="H136">
        <v>132.6</v>
      </c>
      <c r="I136">
        <v>111.9</v>
      </c>
      <c r="J136">
        <v>132.5</v>
      </c>
      <c r="K136">
        <v>152.9</v>
      </c>
      <c r="L136">
        <v>173.6</v>
      </c>
      <c r="M136">
        <v>115.1</v>
      </c>
      <c r="N136">
        <v>144.80000000000001</v>
      </c>
      <c r="O136">
        <v>122.1</v>
      </c>
      <c r="P136">
        <v>138.80000000000001</v>
      </c>
      <c r="Q136">
        <v>135.69999999999999</v>
      </c>
      <c r="R136">
        <v>143.9</v>
      </c>
      <c r="S136">
        <v>128.69999999999999</v>
      </c>
      <c r="T136">
        <v>121.6</v>
      </c>
      <c r="U136">
        <v>127.7</v>
      </c>
      <c r="V136">
        <v>127.9</v>
      </c>
      <c r="W136">
        <v>114.8</v>
      </c>
      <c r="X136">
        <v>124.3</v>
      </c>
      <c r="Y136">
        <v>121.4</v>
      </c>
      <c r="Z136">
        <v>111.8</v>
      </c>
      <c r="AA136">
        <v>120.8</v>
      </c>
      <c r="AB136">
        <v>131.6</v>
      </c>
      <c r="AC136">
        <v>121.2</v>
      </c>
      <c r="AD136">
        <v>120.5</v>
      </c>
      <c r="AE136">
        <v>128</v>
      </c>
    </row>
    <row r="137" spans="2:31" x14ac:dyDescent="0.3">
      <c r="B137" t="s">
        <v>34</v>
      </c>
      <c r="C137">
        <v>2016</v>
      </c>
      <c r="D137" t="s">
        <v>42</v>
      </c>
      <c r="E137">
        <v>129.9</v>
      </c>
      <c r="F137">
        <v>138</v>
      </c>
      <c r="G137">
        <v>130.5</v>
      </c>
      <c r="H137">
        <v>134.4</v>
      </c>
      <c r="I137">
        <v>117.2</v>
      </c>
      <c r="J137">
        <v>136.1</v>
      </c>
      <c r="K137">
        <v>150.69999999999999</v>
      </c>
      <c r="L137">
        <v>171.5</v>
      </c>
      <c r="M137">
        <v>113.8</v>
      </c>
      <c r="N137">
        <v>138.80000000000001</v>
      </c>
      <c r="O137">
        <v>126</v>
      </c>
      <c r="P137">
        <v>140.19999999999999</v>
      </c>
      <c r="Q137">
        <v>136.6</v>
      </c>
      <c r="R137">
        <v>141</v>
      </c>
      <c r="S137">
        <v>134.6</v>
      </c>
      <c r="T137">
        <v>128.6</v>
      </c>
      <c r="U137">
        <v>133.80000000000001</v>
      </c>
      <c r="V137">
        <v>127.9</v>
      </c>
      <c r="W137">
        <v>124.1</v>
      </c>
      <c r="X137">
        <v>127.9</v>
      </c>
      <c r="Y137">
        <v>125.4</v>
      </c>
      <c r="Z137">
        <v>114.3</v>
      </c>
      <c r="AA137">
        <v>122.9</v>
      </c>
      <c r="AB137">
        <v>131.80000000000001</v>
      </c>
      <c r="AC137">
        <v>122.1</v>
      </c>
      <c r="AD137">
        <v>122.8</v>
      </c>
      <c r="AE137">
        <v>130.9</v>
      </c>
    </row>
    <row r="138" spans="2:31" x14ac:dyDescent="0.3">
      <c r="B138" t="s">
        <v>30</v>
      </c>
      <c r="C138">
        <v>2016</v>
      </c>
      <c r="D138" t="s">
        <v>43</v>
      </c>
      <c r="E138">
        <v>131.30000000000001</v>
      </c>
      <c r="F138">
        <v>137.6</v>
      </c>
      <c r="G138">
        <v>130.1</v>
      </c>
      <c r="H138">
        <v>136</v>
      </c>
      <c r="I138">
        <v>120.8</v>
      </c>
      <c r="J138">
        <v>138.4</v>
      </c>
      <c r="K138">
        <v>149.19999999999999</v>
      </c>
      <c r="L138">
        <v>170.2</v>
      </c>
      <c r="M138">
        <v>113.4</v>
      </c>
      <c r="N138">
        <v>136.30000000000001</v>
      </c>
      <c r="O138">
        <v>128.69999999999999</v>
      </c>
      <c r="P138">
        <v>142.4</v>
      </c>
      <c r="Q138">
        <v>137.4</v>
      </c>
      <c r="R138">
        <v>140.9</v>
      </c>
      <c r="S138">
        <v>139.6</v>
      </c>
      <c r="T138">
        <v>134.30000000000001</v>
      </c>
      <c r="U138">
        <v>138.80000000000001</v>
      </c>
      <c r="V138" t="s">
        <v>32</v>
      </c>
      <c r="W138">
        <v>129.80000000000001</v>
      </c>
      <c r="X138">
        <v>131.80000000000001</v>
      </c>
      <c r="Y138">
        <v>128.69999999999999</v>
      </c>
      <c r="Z138">
        <v>117.8</v>
      </c>
      <c r="AA138">
        <v>126.5</v>
      </c>
      <c r="AB138">
        <v>133</v>
      </c>
      <c r="AC138">
        <v>123</v>
      </c>
      <c r="AD138">
        <v>125.7</v>
      </c>
      <c r="AE138">
        <v>133.80000000000001</v>
      </c>
    </row>
    <row r="139" spans="2:31" x14ac:dyDescent="0.3">
      <c r="B139" t="s">
        <v>33</v>
      </c>
      <c r="C139">
        <v>2016</v>
      </c>
      <c r="D139" t="s">
        <v>43</v>
      </c>
      <c r="E139">
        <v>128.69999999999999</v>
      </c>
      <c r="F139">
        <v>138.4</v>
      </c>
      <c r="G139">
        <v>130.30000000000001</v>
      </c>
      <c r="H139">
        <v>132.69999999999999</v>
      </c>
      <c r="I139">
        <v>112.5</v>
      </c>
      <c r="J139">
        <v>130.4</v>
      </c>
      <c r="K139">
        <v>155.1</v>
      </c>
      <c r="L139">
        <v>175.7</v>
      </c>
      <c r="M139">
        <v>115.4</v>
      </c>
      <c r="N139">
        <v>145.30000000000001</v>
      </c>
      <c r="O139">
        <v>122.5</v>
      </c>
      <c r="P139">
        <v>139.6</v>
      </c>
      <c r="Q139">
        <v>136.30000000000001</v>
      </c>
      <c r="R139">
        <v>144.30000000000001</v>
      </c>
      <c r="S139">
        <v>129.1</v>
      </c>
      <c r="T139">
        <v>121.9</v>
      </c>
      <c r="U139">
        <v>128</v>
      </c>
      <c r="V139">
        <v>128.69999999999999</v>
      </c>
      <c r="W139">
        <v>115.2</v>
      </c>
      <c r="X139">
        <v>124.5</v>
      </c>
      <c r="Y139">
        <v>121.8</v>
      </c>
      <c r="Z139">
        <v>112.8</v>
      </c>
      <c r="AA139">
        <v>121.2</v>
      </c>
      <c r="AB139">
        <v>131.9</v>
      </c>
      <c r="AC139">
        <v>120.8</v>
      </c>
      <c r="AD139">
        <v>120.9</v>
      </c>
      <c r="AE139">
        <v>128.6</v>
      </c>
    </row>
    <row r="140" spans="2:31" x14ac:dyDescent="0.3">
      <c r="B140" t="s">
        <v>34</v>
      </c>
      <c r="C140">
        <v>2016</v>
      </c>
      <c r="D140" t="s">
        <v>43</v>
      </c>
      <c r="E140">
        <v>130.5</v>
      </c>
      <c r="F140">
        <v>137.9</v>
      </c>
      <c r="G140">
        <v>130.19999999999999</v>
      </c>
      <c r="H140">
        <v>134.80000000000001</v>
      </c>
      <c r="I140">
        <v>117.8</v>
      </c>
      <c r="J140">
        <v>134.69999999999999</v>
      </c>
      <c r="K140">
        <v>151.19999999999999</v>
      </c>
      <c r="L140">
        <v>172.1</v>
      </c>
      <c r="M140">
        <v>114.1</v>
      </c>
      <c r="N140">
        <v>139.30000000000001</v>
      </c>
      <c r="O140">
        <v>126.1</v>
      </c>
      <c r="P140">
        <v>141.1</v>
      </c>
      <c r="Q140">
        <v>137</v>
      </c>
      <c r="R140">
        <v>141.80000000000001</v>
      </c>
      <c r="S140">
        <v>135.5</v>
      </c>
      <c r="T140">
        <v>129.1</v>
      </c>
      <c r="U140">
        <v>134.5</v>
      </c>
      <c r="V140">
        <v>128.69999999999999</v>
      </c>
      <c r="W140">
        <v>124.3</v>
      </c>
      <c r="X140">
        <v>128.4</v>
      </c>
      <c r="Y140">
        <v>126.1</v>
      </c>
      <c r="Z140">
        <v>115.2</v>
      </c>
      <c r="AA140">
        <v>123.5</v>
      </c>
      <c r="AB140">
        <v>132.4</v>
      </c>
      <c r="AC140">
        <v>122.1</v>
      </c>
      <c r="AD140">
        <v>123.4</v>
      </c>
      <c r="AE140">
        <v>131.4</v>
      </c>
    </row>
    <row r="141" spans="2:31" x14ac:dyDescent="0.3">
      <c r="B141" t="s">
        <v>30</v>
      </c>
      <c r="C141">
        <v>2016</v>
      </c>
      <c r="D141" t="s">
        <v>45</v>
      </c>
      <c r="E141">
        <v>132</v>
      </c>
      <c r="F141">
        <v>137.4</v>
      </c>
      <c r="G141">
        <v>130.6</v>
      </c>
      <c r="H141">
        <v>136.19999999999999</v>
      </c>
      <c r="I141">
        <v>121.1</v>
      </c>
      <c r="J141">
        <v>136.9</v>
      </c>
      <c r="K141">
        <v>141.80000000000001</v>
      </c>
      <c r="L141">
        <v>170</v>
      </c>
      <c r="M141">
        <v>113.4</v>
      </c>
      <c r="N141">
        <v>136.80000000000001</v>
      </c>
      <c r="O141">
        <v>128.69999999999999</v>
      </c>
      <c r="P141">
        <v>143.1</v>
      </c>
      <c r="Q141">
        <v>136.6</v>
      </c>
      <c r="R141">
        <v>141.19999999999999</v>
      </c>
      <c r="S141">
        <v>139.9</v>
      </c>
      <c r="T141">
        <v>134.5</v>
      </c>
      <c r="U141">
        <v>139.19999999999999</v>
      </c>
      <c r="V141" t="s">
        <v>32</v>
      </c>
      <c r="W141">
        <v>130.30000000000001</v>
      </c>
      <c r="X141">
        <v>132.1</v>
      </c>
      <c r="Y141">
        <v>129.1</v>
      </c>
      <c r="Z141">
        <v>118.2</v>
      </c>
      <c r="AA141">
        <v>126.9</v>
      </c>
      <c r="AB141">
        <v>133.69999999999999</v>
      </c>
      <c r="AC141">
        <v>123.5</v>
      </c>
      <c r="AD141">
        <v>126.1</v>
      </c>
      <c r="AE141">
        <v>133.6</v>
      </c>
    </row>
    <row r="142" spans="2:31" x14ac:dyDescent="0.3">
      <c r="B142" t="s">
        <v>33</v>
      </c>
      <c r="C142">
        <v>2016</v>
      </c>
      <c r="D142" t="s">
        <v>45</v>
      </c>
      <c r="E142">
        <v>130.19999999999999</v>
      </c>
      <c r="F142">
        <v>138.5</v>
      </c>
      <c r="G142">
        <v>134.1</v>
      </c>
      <c r="H142">
        <v>132.9</v>
      </c>
      <c r="I142">
        <v>112.6</v>
      </c>
      <c r="J142">
        <v>130.80000000000001</v>
      </c>
      <c r="K142">
        <v>142</v>
      </c>
      <c r="L142">
        <v>174.9</v>
      </c>
      <c r="M142">
        <v>115.6</v>
      </c>
      <c r="N142">
        <v>145.4</v>
      </c>
      <c r="O142">
        <v>122.7</v>
      </c>
      <c r="P142">
        <v>140.30000000000001</v>
      </c>
      <c r="Q142">
        <v>135.19999999999999</v>
      </c>
      <c r="R142">
        <v>144.30000000000001</v>
      </c>
      <c r="S142">
        <v>129.6</v>
      </c>
      <c r="T142">
        <v>122.1</v>
      </c>
      <c r="U142">
        <v>128.5</v>
      </c>
      <c r="V142">
        <v>129.1</v>
      </c>
      <c r="W142">
        <v>116.2</v>
      </c>
      <c r="X142">
        <v>124.7</v>
      </c>
      <c r="Y142">
        <v>122.1</v>
      </c>
      <c r="Z142">
        <v>113.4</v>
      </c>
      <c r="AA142">
        <v>121.7</v>
      </c>
      <c r="AB142">
        <v>132.1</v>
      </c>
      <c r="AC142">
        <v>121.3</v>
      </c>
      <c r="AD142">
        <v>121.3</v>
      </c>
      <c r="AE142">
        <v>128.5</v>
      </c>
    </row>
    <row r="143" spans="2:31" x14ac:dyDescent="0.3">
      <c r="B143" t="s">
        <v>34</v>
      </c>
      <c r="C143">
        <v>2016</v>
      </c>
      <c r="D143" t="s">
        <v>45</v>
      </c>
      <c r="E143">
        <v>131.4</v>
      </c>
      <c r="F143">
        <v>137.80000000000001</v>
      </c>
      <c r="G143">
        <v>132</v>
      </c>
      <c r="H143">
        <v>135</v>
      </c>
      <c r="I143">
        <v>118</v>
      </c>
      <c r="J143">
        <v>134.1</v>
      </c>
      <c r="K143">
        <v>141.9</v>
      </c>
      <c r="L143">
        <v>171.7</v>
      </c>
      <c r="M143">
        <v>114.1</v>
      </c>
      <c r="N143">
        <v>139.69999999999999</v>
      </c>
      <c r="O143">
        <v>126.2</v>
      </c>
      <c r="P143">
        <v>141.80000000000001</v>
      </c>
      <c r="Q143">
        <v>136.1</v>
      </c>
      <c r="R143">
        <v>142</v>
      </c>
      <c r="S143">
        <v>135.80000000000001</v>
      </c>
      <c r="T143">
        <v>129.30000000000001</v>
      </c>
      <c r="U143">
        <v>135</v>
      </c>
      <c r="V143">
        <v>129.1</v>
      </c>
      <c r="W143">
        <v>125</v>
      </c>
      <c r="X143">
        <v>128.6</v>
      </c>
      <c r="Y143">
        <v>126.4</v>
      </c>
      <c r="Z143">
        <v>115.7</v>
      </c>
      <c r="AA143">
        <v>124</v>
      </c>
      <c r="AB143">
        <v>132.80000000000001</v>
      </c>
      <c r="AC143">
        <v>122.6</v>
      </c>
      <c r="AD143">
        <v>123.8</v>
      </c>
      <c r="AE143">
        <v>131.19999999999999</v>
      </c>
    </row>
    <row r="144" spans="2:31" x14ac:dyDescent="0.3">
      <c r="B144" t="s">
        <v>30</v>
      </c>
      <c r="C144">
        <v>2016</v>
      </c>
      <c r="D144" t="s">
        <v>46</v>
      </c>
      <c r="E144">
        <v>132.6</v>
      </c>
      <c r="F144">
        <v>137.30000000000001</v>
      </c>
      <c r="G144">
        <v>131.6</v>
      </c>
      <c r="H144">
        <v>136.30000000000001</v>
      </c>
      <c r="I144">
        <v>121.6</v>
      </c>
      <c r="J144">
        <v>135.6</v>
      </c>
      <c r="K144">
        <v>127.5</v>
      </c>
      <c r="L144">
        <v>167.9</v>
      </c>
      <c r="M144">
        <v>113.8</v>
      </c>
      <c r="N144">
        <v>137.5</v>
      </c>
      <c r="O144">
        <v>129.1</v>
      </c>
      <c r="P144">
        <v>143.6</v>
      </c>
      <c r="Q144">
        <v>134.69999999999999</v>
      </c>
      <c r="R144">
        <v>142.4</v>
      </c>
      <c r="S144">
        <v>140.4</v>
      </c>
      <c r="T144">
        <v>135.19999999999999</v>
      </c>
      <c r="U144">
        <v>139.69999999999999</v>
      </c>
      <c r="V144" t="s">
        <v>32</v>
      </c>
      <c r="W144">
        <v>132</v>
      </c>
      <c r="X144">
        <v>132.9</v>
      </c>
      <c r="Y144">
        <v>129.69999999999999</v>
      </c>
      <c r="Z144">
        <v>118.6</v>
      </c>
      <c r="AA144">
        <v>127.3</v>
      </c>
      <c r="AB144">
        <v>134.19999999999999</v>
      </c>
      <c r="AC144">
        <v>121.9</v>
      </c>
      <c r="AD144">
        <v>126.3</v>
      </c>
      <c r="AE144">
        <v>132.80000000000001</v>
      </c>
    </row>
    <row r="145" spans="2:31" x14ac:dyDescent="0.3">
      <c r="B145" t="s">
        <v>33</v>
      </c>
      <c r="C145">
        <v>2016</v>
      </c>
      <c r="D145" t="s">
        <v>46</v>
      </c>
      <c r="E145">
        <v>131.6</v>
      </c>
      <c r="F145">
        <v>138.19999999999999</v>
      </c>
      <c r="G145">
        <v>134.9</v>
      </c>
      <c r="H145">
        <v>133.1</v>
      </c>
      <c r="I145">
        <v>113.5</v>
      </c>
      <c r="J145">
        <v>129.30000000000001</v>
      </c>
      <c r="K145">
        <v>121.1</v>
      </c>
      <c r="L145">
        <v>170.3</v>
      </c>
      <c r="M145">
        <v>115.5</v>
      </c>
      <c r="N145">
        <v>145.5</v>
      </c>
      <c r="O145">
        <v>123.1</v>
      </c>
      <c r="P145">
        <v>140.9</v>
      </c>
      <c r="Q145">
        <v>132.80000000000001</v>
      </c>
      <c r="R145">
        <v>145</v>
      </c>
      <c r="S145">
        <v>130</v>
      </c>
      <c r="T145">
        <v>122.2</v>
      </c>
      <c r="U145">
        <v>128.80000000000001</v>
      </c>
      <c r="V145">
        <v>128.5</v>
      </c>
      <c r="W145">
        <v>117.8</v>
      </c>
      <c r="X145">
        <v>125</v>
      </c>
      <c r="Y145">
        <v>122.3</v>
      </c>
      <c r="Z145">
        <v>113.7</v>
      </c>
      <c r="AA145">
        <v>121.8</v>
      </c>
      <c r="AB145">
        <v>132.30000000000001</v>
      </c>
      <c r="AC145">
        <v>119.9</v>
      </c>
      <c r="AD145">
        <v>121.4</v>
      </c>
      <c r="AE145">
        <v>127.6</v>
      </c>
    </row>
    <row r="146" spans="2:31" x14ac:dyDescent="0.3">
      <c r="B146" t="s">
        <v>34</v>
      </c>
      <c r="C146">
        <v>2016</v>
      </c>
      <c r="D146" t="s">
        <v>46</v>
      </c>
      <c r="E146">
        <v>132.30000000000001</v>
      </c>
      <c r="F146">
        <v>137.6</v>
      </c>
      <c r="G146">
        <v>132.9</v>
      </c>
      <c r="H146">
        <v>135.1</v>
      </c>
      <c r="I146">
        <v>118.6</v>
      </c>
      <c r="J146">
        <v>132.69999999999999</v>
      </c>
      <c r="K146">
        <v>125.3</v>
      </c>
      <c r="L146">
        <v>168.7</v>
      </c>
      <c r="M146">
        <v>114.4</v>
      </c>
      <c r="N146">
        <v>140.19999999999999</v>
      </c>
      <c r="O146">
        <v>126.6</v>
      </c>
      <c r="P146">
        <v>142.30000000000001</v>
      </c>
      <c r="Q146">
        <v>134</v>
      </c>
      <c r="R146">
        <v>143.1</v>
      </c>
      <c r="S146">
        <v>136.30000000000001</v>
      </c>
      <c r="T146">
        <v>129.80000000000001</v>
      </c>
      <c r="U146">
        <v>135.4</v>
      </c>
      <c r="V146">
        <v>128.5</v>
      </c>
      <c r="W146">
        <v>126.6</v>
      </c>
      <c r="X146">
        <v>129.19999999999999</v>
      </c>
      <c r="Y146">
        <v>126.9</v>
      </c>
      <c r="Z146">
        <v>116</v>
      </c>
      <c r="AA146">
        <v>124.2</v>
      </c>
      <c r="AB146">
        <v>133.1</v>
      </c>
      <c r="AC146">
        <v>121.1</v>
      </c>
      <c r="AD146">
        <v>123.9</v>
      </c>
      <c r="AE146">
        <v>130.4</v>
      </c>
    </row>
    <row r="147" spans="2:31" x14ac:dyDescent="0.3">
      <c r="B147" t="s">
        <v>30</v>
      </c>
      <c r="C147">
        <v>2017</v>
      </c>
      <c r="D147" t="s">
        <v>31</v>
      </c>
      <c r="E147">
        <v>133.1</v>
      </c>
      <c r="F147">
        <v>137.80000000000001</v>
      </c>
      <c r="G147">
        <v>131.9</v>
      </c>
      <c r="H147">
        <v>136.69999999999999</v>
      </c>
      <c r="I147">
        <v>122</v>
      </c>
      <c r="J147">
        <v>136</v>
      </c>
      <c r="K147">
        <v>119.8</v>
      </c>
      <c r="L147">
        <v>161.69999999999999</v>
      </c>
      <c r="M147">
        <v>114.8</v>
      </c>
      <c r="N147">
        <v>136.9</v>
      </c>
      <c r="O147">
        <v>129</v>
      </c>
      <c r="P147">
        <v>143.9</v>
      </c>
      <c r="Q147">
        <v>133.69999999999999</v>
      </c>
      <c r="R147">
        <v>143.1</v>
      </c>
      <c r="S147">
        <v>140.69999999999999</v>
      </c>
      <c r="T147">
        <v>135.80000000000001</v>
      </c>
      <c r="U147">
        <v>140</v>
      </c>
      <c r="V147" t="s">
        <v>32</v>
      </c>
      <c r="W147">
        <v>132.1</v>
      </c>
      <c r="X147">
        <v>133.19999999999999</v>
      </c>
      <c r="Y147">
        <v>129.9</v>
      </c>
      <c r="Z147">
        <v>119.1</v>
      </c>
      <c r="AA147">
        <v>127</v>
      </c>
      <c r="AB147">
        <v>134.6</v>
      </c>
      <c r="AC147">
        <v>122.3</v>
      </c>
      <c r="AD147">
        <v>126.6</v>
      </c>
      <c r="AE147">
        <v>132.4</v>
      </c>
    </row>
    <row r="148" spans="2:31" x14ac:dyDescent="0.3">
      <c r="B148" t="s">
        <v>33</v>
      </c>
      <c r="C148">
        <v>2017</v>
      </c>
      <c r="D148" t="s">
        <v>31</v>
      </c>
      <c r="E148">
        <v>132.19999999999999</v>
      </c>
      <c r="F148">
        <v>138.9</v>
      </c>
      <c r="G148">
        <v>132.6</v>
      </c>
      <c r="H148">
        <v>133.1</v>
      </c>
      <c r="I148">
        <v>114</v>
      </c>
      <c r="J148">
        <v>129.6</v>
      </c>
      <c r="K148">
        <v>118.7</v>
      </c>
      <c r="L148">
        <v>155.1</v>
      </c>
      <c r="M148">
        <v>117.3</v>
      </c>
      <c r="N148">
        <v>144.9</v>
      </c>
      <c r="O148">
        <v>123.2</v>
      </c>
      <c r="P148">
        <v>141.6</v>
      </c>
      <c r="Q148">
        <v>132</v>
      </c>
      <c r="R148">
        <v>145.6</v>
      </c>
      <c r="S148">
        <v>130.19999999999999</v>
      </c>
      <c r="T148">
        <v>122.3</v>
      </c>
      <c r="U148">
        <v>129</v>
      </c>
      <c r="V148">
        <v>129.6</v>
      </c>
      <c r="W148">
        <v>118</v>
      </c>
      <c r="X148">
        <v>125.1</v>
      </c>
      <c r="Y148">
        <v>122.6</v>
      </c>
      <c r="Z148">
        <v>115.2</v>
      </c>
      <c r="AA148">
        <v>122</v>
      </c>
      <c r="AB148">
        <v>132.4</v>
      </c>
      <c r="AC148">
        <v>120.9</v>
      </c>
      <c r="AD148">
        <v>122.1</v>
      </c>
      <c r="AE148">
        <v>127.8</v>
      </c>
    </row>
    <row r="149" spans="2:31" x14ac:dyDescent="0.3">
      <c r="B149" t="s">
        <v>34</v>
      </c>
      <c r="C149">
        <v>2017</v>
      </c>
      <c r="D149" t="s">
        <v>31</v>
      </c>
      <c r="E149">
        <v>132.80000000000001</v>
      </c>
      <c r="F149">
        <v>138.19999999999999</v>
      </c>
      <c r="G149">
        <v>132.19999999999999</v>
      </c>
      <c r="H149">
        <v>135.4</v>
      </c>
      <c r="I149">
        <v>119.1</v>
      </c>
      <c r="J149">
        <v>133</v>
      </c>
      <c r="K149">
        <v>119.4</v>
      </c>
      <c r="L149">
        <v>159.5</v>
      </c>
      <c r="M149">
        <v>115.6</v>
      </c>
      <c r="N149">
        <v>139.6</v>
      </c>
      <c r="O149">
        <v>126.6</v>
      </c>
      <c r="P149">
        <v>142.80000000000001</v>
      </c>
      <c r="Q149">
        <v>133.1</v>
      </c>
      <c r="R149">
        <v>143.80000000000001</v>
      </c>
      <c r="S149">
        <v>136.6</v>
      </c>
      <c r="T149">
        <v>130.19999999999999</v>
      </c>
      <c r="U149">
        <v>135.6</v>
      </c>
      <c r="V149">
        <v>129.6</v>
      </c>
      <c r="W149">
        <v>126.8</v>
      </c>
      <c r="X149">
        <v>129.4</v>
      </c>
      <c r="Y149">
        <v>127.1</v>
      </c>
      <c r="Z149">
        <v>117</v>
      </c>
      <c r="AA149">
        <v>124.2</v>
      </c>
      <c r="AB149">
        <v>133.30000000000001</v>
      </c>
      <c r="AC149">
        <v>121.7</v>
      </c>
      <c r="AD149">
        <v>124.4</v>
      </c>
      <c r="AE149">
        <v>130.30000000000001</v>
      </c>
    </row>
    <row r="150" spans="2:31" x14ac:dyDescent="0.3">
      <c r="B150" t="s">
        <v>30</v>
      </c>
      <c r="C150">
        <v>2017</v>
      </c>
      <c r="D150" t="s">
        <v>35</v>
      </c>
      <c r="E150">
        <v>133.30000000000001</v>
      </c>
      <c r="F150">
        <v>138.30000000000001</v>
      </c>
      <c r="G150">
        <v>129.30000000000001</v>
      </c>
      <c r="H150">
        <v>137.19999999999999</v>
      </c>
      <c r="I150">
        <v>122.1</v>
      </c>
      <c r="J150">
        <v>138.69999999999999</v>
      </c>
      <c r="K150">
        <v>119.1</v>
      </c>
      <c r="L150">
        <v>156.9</v>
      </c>
      <c r="M150">
        <v>116.2</v>
      </c>
      <c r="N150">
        <v>136</v>
      </c>
      <c r="O150">
        <v>129.4</v>
      </c>
      <c r="P150">
        <v>144.4</v>
      </c>
      <c r="Q150">
        <v>133.6</v>
      </c>
      <c r="R150">
        <v>143.69999999999999</v>
      </c>
      <c r="S150">
        <v>140.9</v>
      </c>
      <c r="T150">
        <v>135.80000000000001</v>
      </c>
      <c r="U150">
        <v>140.19999999999999</v>
      </c>
      <c r="V150" t="s">
        <v>32</v>
      </c>
      <c r="W150">
        <v>133.19999999999999</v>
      </c>
      <c r="X150">
        <v>133.6</v>
      </c>
      <c r="Y150">
        <v>130.1</v>
      </c>
      <c r="Z150">
        <v>119.5</v>
      </c>
      <c r="AA150">
        <v>127.7</v>
      </c>
      <c r="AB150">
        <v>134.9</v>
      </c>
      <c r="AC150">
        <v>123.2</v>
      </c>
      <c r="AD150">
        <v>127</v>
      </c>
      <c r="AE150">
        <v>132.6</v>
      </c>
    </row>
    <row r="151" spans="2:31" x14ac:dyDescent="0.3">
      <c r="B151" t="s">
        <v>33</v>
      </c>
      <c r="C151">
        <v>2017</v>
      </c>
      <c r="D151" t="s">
        <v>35</v>
      </c>
      <c r="E151">
        <v>132.80000000000001</v>
      </c>
      <c r="F151">
        <v>139.80000000000001</v>
      </c>
      <c r="G151">
        <v>129.30000000000001</v>
      </c>
      <c r="H151">
        <v>133.5</v>
      </c>
      <c r="I151">
        <v>114.3</v>
      </c>
      <c r="J151">
        <v>131.4</v>
      </c>
      <c r="K151">
        <v>120.2</v>
      </c>
      <c r="L151">
        <v>143.1</v>
      </c>
      <c r="M151">
        <v>119.5</v>
      </c>
      <c r="N151">
        <v>144</v>
      </c>
      <c r="O151">
        <v>123.4</v>
      </c>
      <c r="P151">
        <v>141.9</v>
      </c>
      <c r="Q151">
        <v>132.1</v>
      </c>
      <c r="R151">
        <v>146.30000000000001</v>
      </c>
      <c r="S151">
        <v>130.5</v>
      </c>
      <c r="T151">
        <v>122.5</v>
      </c>
      <c r="U151">
        <v>129.30000000000001</v>
      </c>
      <c r="V151">
        <v>130.5</v>
      </c>
      <c r="W151">
        <v>119.2</v>
      </c>
      <c r="X151">
        <v>125.3</v>
      </c>
      <c r="Y151">
        <v>122.9</v>
      </c>
      <c r="Z151">
        <v>115.5</v>
      </c>
      <c r="AA151">
        <v>122.2</v>
      </c>
      <c r="AB151">
        <v>132.4</v>
      </c>
      <c r="AC151">
        <v>121.7</v>
      </c>
      <c r="AD151">
        <v>122.4</v>
      </c>
      <c r="AE151">
        <v>128.19999999999999</v>
      </c>
    </row>
    <row r="152" spans="2:31" x14ac:dyDescent="0.3">
      <c r="B152" t="s">
        <v>34</v>
      </c>
      <c r="C152">
        <v>2017</v>
      </c>
      <c r="D152" t="s">
        <v>35</v>
      </c>
      <c r="E152">
        <v>133.1</v>
      </c>
      <c r="F152">
        <v>138.80000000000001</v>
      </c>
      <c r="G152">
        <v>129.30000000000001</v>
      </c>
      <c r="H152">
        <v>135.80000000000001</v>
      </c>
      <c r="I152">
        <v>119.2</v>
      </c>
      <c r="J152">
        <v>135.30000000000001</v>
      </c>
      <c r="K152">
        <v>119.5</v>
      </c>
      <c r="L152">
        <v>152.19999999999999</v>
      </c>
      <c r="M152">
        <v>117.3</v>
      </c>
      <c r="N152">
        <v>138.69999999999999</v>
      </c>
      <c r="O152">
        <v>126.9</v>
      </c>
      <c r="P152">
        <v>143.19999999999999</v>
      </c>
      <c r="Q152">
        <v>133</v>
      </c>
      <c r="R152">
        <v>144.4</v>
      </c>
      <c r="S152">
        <v>136.80000000000001</v>
      </c>
      <c r="T152">
        <v>130.30000000000001</v>
      </c>
      <c r="U152">
        <v>135.9</v>
      </c>
      <c r="V152">
        <v>130.5</v>
      </c>
      <c r="W152">
        <v>127.9</v>
      </c>
      <c r="X152">
        <v>129.69999999999999</v>
      </c>
      <c r="Y152">
        <v>127.4</v>
      </c>
      <c r="Z152">
        <v>117.4</v>
      </c>
      <c r="AA152">
        <v>124.6</v>
      </c>
      <c r="AB152">
        <v>133.4</v>
      </c>
      <c r="AC152">
        <v>122.6</v>
      </c>
      <c r="AD152">
        <v>124.8</v>
      </c>
      <c r="AE152">
        <v>130.6</v>
      </c>
    </row>
    <row r="153" spans="2:31" x14ac:dyDescent="0.3">
      <c r="B153" t="s">
        <v>30</v>
      </c>
      <c r="C153">
        <v>2017</v>
      </c>
      <c r="D153" t="s">
        <v>36</v>
      </c>
      <c r="E153">
        <v>133.6</v>
      </c>
      <c r="F153">
        <v>138.80000000000001</v>
      </c>
      <c r="G153">
        <v>128.80000000000001</v>
      </c>
      <c r="H153">
        <v>137.19999999999999</v>
      </c>
      <c r="I153">
        <v>121.6</v>
      </c>
      <c r="J153">
        <v>139.69999999999999</v>
      </c>
      <c r="K153">
        <v>119.7</v>
      </c>
      <c r="L153">
        <v>148</v>
      </c>
      <c r="M153">
        <v>116.9</v>
      </c>
      <c r="N153">
        <v>135.6</v>
      </c>
      <c r="O153">
        <v>129.80000000000001</v>
      </c>
      <c r="P153">
        <v>145.4</v>
      </c>
      <c r="Q153">
        <v>133.4</v>
      </c>
      <c r="R153">
        <v>144.19999999999999</v>
      </c>
      <c r="S153">
        <v>141.6</v>
      </c>
      <c r="T153">
        <v>136.19999999999999</v>
      </c>
      <c r="U153">
        <v>140.80000000000001</v>
      </c>
      <c r="V153" t="s">
        <v>32</v>
      </c>
      <c r="W153">
        <v>134.19999999999999</v>
      </c>
      <c r="X153">
        <v>134.1</v>
      </c>
      <c r="Y153">
        <v>130.6</v>
      </c>
      <c r="Z153">
        <v>119.8</v>
      </c>
      <c r="AA153">
        <v>128.30000000000001</v>
      </c>
      <c r="AB153">
        <v>135.19999999999999</v>
      </c>
      <c r="AC153">
        <v>123.3</v>
      </c>
      <c r="AD153">
        <v>127.4</v>
      </c>
      <c r="AE153">
        <v>132.80000000000001</v>
      </c>
    </row>
    <row r="154" spans="2:31" x14ac:dyDescent="0.3">
      <c r="B154" t="s">
        <v>33</v>
      </c>
      <c r="C154">
        <v>2017</v>
      </c>
      <c r="D154" t="s">
        <v>36</v>
      </c>
      <c r="E154">
        <v>132.69999999999999</v>
      </c>
      <c r="F154">
        <v>139.4</v>
      </c>
      <c r="G154">
        <v>128.4</v>
      </c>
      <c r="H154">
        <v>134.9</v>
      </c>
      <c r="I154">
        <v>114</v>
      </c>
      <c r="J154">
        <v>136.80000000000001</v>
      </c>
      <c r="K154">
        <v>122.2</v>
      </c>
      <c r="L154">
        <v>135.80000000000001</v>
      </c>
      <c r="M154">
        <v>120.3</v>
      </c>
      <c r="N154">
        <v>142.6</v>
      </c>
      <c r="O154">
        <v>123.6</v>
      </c>
      <c r="P154">
        <v>142.4</v>
      </c>
      <c r="Q154">
        <v>132.6</v>
      </c>
      <c r="R154">
        <v>147.5</v>
      </c>
      <c r="S154">
        <v>130.80000000000001</v>
      </c>
      <c r="T154">
        <v>122.8</v>
      </c>
      <c r="U154">
        <v>129.6</v>
      </c>
      <c r="V154">
        <v>131.1</v>
      </c>
      <c r="W154">
        <v>120.8</v>
      </c>
      <c r="X154">
        <v>125.6</v>
      </c>
      <c r="Y154">
        <v>123.1</v>
      </c>
      <c r="Z154">
        <v>115.6</v>
      </c>
      <c r="AA154">
        <v>122.4</v>
      </c>
      <c r="AB154">
        <v>132.80000000000001</v>
      </c>
      <c r="AC154">
        <v>121.7</v>
      </c>
      <c r="AD154">
        <v>122.6</v>
      </c>
      <c r="AE154">
        <v>128.69999999999999</v>
      </c>
    </row>
    <row r="155" spans="2:31" x14ac:dyDescent="0.3">
      <c r="B155" t="s">
        <v>34</v>
      </c>
      <c r="C155">
        <v>2017</v>
      </c>
      <c r="D155" t="s">
        <v>36</v>
      </c>
      <c r="E155">
        <v>133.30000000000001</v>
      </c>
      <c r="F155">
        <v>139</v>
      </c>
      <c r="G155">
        <v>128.6</v>
      </c>
      <c r="H155">
        <v>136.30000000000001</v>
      </c>
      <c r="I155">
        <v>118.8</v>
      </c>
      <c r="J155">
        <v>138.30000000000001</v>
      </c>
      <c r="K155">
        <v>120.5</v>
      </c>
      <c r="L155">
        <v>143.9</v>
      </c>
      <c r="M155">
        <v>118</v>
      </c>
      <c r="N155">
        <v>137.9</v>
      </c>
      <c r="O155">
        <v>127.2</v>
      </c>
      <c r="P155">
        <v>144</v>
      </c>
      <c r="Q155">
        <v>133.1</v>
      </c>
      <c r="R155">
        <v>145.1</v>
      </c>
      <c r="S155">
        <v>137.30000000000001</v>
      </c>
      <c r="T155">
        <v>130.6</v>
      </c>
      <c r="U155">
        <v>136.4</v>
      </c>
      <c r="V155">
        <v>131.1</v>
      </c>
      <c r="W155">
        <v>129.1</v>
      </c>
      <c r="X155">
        <v>130.1</v>
      </c>
      <c r="Y155">
        <v>127.8</v>
      </c>
      <c r="Z155">
        <v>117.6</v>
      </c>
      <c r="AA155">
        <v>125</v>
      </c>
      <c r="AB155">
        <v>133.80000000000001</v>
      </c>
      <c r="AC155">
        <v>122.6</v>
      </c>
      <c r="AD155">
        <v>125.1</v>
      </c>
      <c r="AE155">
        <v>130.9</v>
      </c>
    </row>
    <row r="156" spans="2:31" x14ac:dyDescent="0.3">
      <c r="B156" t="s">
        <v>30</v>
      </c>
      <c r="C156">
        <v>2017</v>
      </c>
      <c r="D156" t="s">
        <v>37</v>
      </c>
      <c r="E156">
        <v>133.19999999999999</v>
      </c>
      <c r="F156">
        <v>138.69999999999999</v>
      </c>
      <c r="G156">
        <v>127.1</v>
      </c>
      <c r="H156">
        <v>137.69999999999999</v>
      </c>
      <c r="I156">
        <v>121.3</v>
      </c>
      <c r="J156">
        <v>141.80000000000001</v>
      </c>
      <c r="K156">
        <v>121.5</v>
      </c>
      <c r="L156">
        <v>144.5</v>
      </c>
      <c r="M156">
        <v>117.4</v>
      </c>
      <c r="N156">
        <v>134.1</v>
      </c>
      <c r="O156">
        <v>130</v>
      </c>
      <c r="P156">
        <v>145.5</v>
      </c>
      <c r="Q156">
        <v>133.5</v>
      </c>
      <c r="R156">
        <v>144.4</v>
      </c>
      <c r="S156">
        <v>142.4</v>
      </c>
      <c r="T156">
        <v>136.80000000000001</v>
      </c>
      <c r="U156">
        <v>141.6</v>
      </c>
      <c r="V156" t="s">
        <v>32</v>
      </c>
      <c r="W156">
        <v>135</v>
      </c>
      <c r="X156">
        <v>134.30000000000001</v>
      </c>
      <c r="Y156">
        <v>131</v>
      </c>
      <c r="Z156">
        <v>119.2</v>
      </c>
      <c r="AA156">
        <v>128.30000000000001</v>
      </c>
      <c r="AB156">
        <v>135.69999999999999</v>
      </c>
      <c r="AC156">
        <v>123.7</v>
      </c>
      <c r="AD156">
        <v>127.5</v>
      </c>
      <c r="AE156">
        <v>132.9</v>
      </c>
    </row>
    <row r="157" spans="2:31" x14ac:dyDescent="0.3">
      <c r="B157" t="s">
        <v>33</v>
      </c>
      <c r="C157">
        <v>2017</v>
      </c>
      <c r="D157" t="s">
        <v>37</v>
      </c>
      <c r="E157">
        <v>132.69999999999999</v>
      </c>
      <c r="F157">
        <v>140.6</v>
      </c>
      <c r="G157">
        <v>124.5</v>
      </c>
      <c r="H157">
        <v>136.30000000000001</v>
      </c>
      <c r="I157">
        <v>113.5</v>
      </c>
      <c r="J157">
        <v>137.69999999999999</v>
      </c>
      <c r="K157">
        <v>127.1</v>
      </c>
      <c r="L157">
        <v>133.80000000000001</v>
      </c>
      <c r="M157">
        <v>120.8</v>
      </c>
      <c r="N157">
        <v>141.30000000000001</v>
      </c>
      <c r="O157">
        <v>123.8</v>
      </c>
      <c r="P157">
        <v>142.6</v>
      </c>
      <c r="Q157">
        <v>133.4</v>
      </c>
      <c r="R157">
        <v>148</v>
      </c>
      <c r="S157">
        <v>131.19999999999999</v>
      </c>
      <c r="T157">
        <v>123</v>
      </c>
      <c r="U157">
        <v>130</v>
      </c>
      <c r="V157">
        <v>131.69999999999999</v>
      </c>
      <c r="W157">
        <v>121.4</v>
      </c>
      <c r="X157">
        <v>126</v>
      </c>
      <c r="Y157">
        <v>123.4</v>
      </c>
      <c r="Z157">
        <v>114.3</v>
      </c>
      <c r="AA157">
        <v>122.6</v>
      </c>
      <c r="AB157">
        <v>133.6</v>
      </c>
      <c r="AC157">
        <v>122.2</v>
      </c>
      <c r="AD157">
        <v>122.5</v>
      </c>
      <c r="AE157">
        <v>129.1</v>
      </c>
    </row>
    <row r="158" spans="2:31" x14ac:dyDescent="0.3">
      <c r="B158" t="s">
        <v>34</v>
      </c>
      <c r="C158">
        <v>2017</v>
      </c>
      <c r="D158" t="s">
        <v>37</v>
      </c>
      <c r="E158">
        <v>133</v>
      </c>
      <c r="F158">
        <v>139.4</v>
      </c>
      <c r="G158">
        <v>126.1</v>
      </c>
      <c r="H158">
        <v>137.19999999999999</v>
      </c>
      <c r="I158">
        <v>118.4</v>
      </c>
      <c r="J158">
        <v>139.9</v>
      </c>
      <c r="K158">
        <v>123.4</v>
      </c>
      <c r="L158">
        <v>140.9</v>
      </c>
      <c r="M158">
        <v>118.5</v>
      </c>
      <c r="N158">
        <v>136.5</v>
      </c>
      <c r="O158">
        <v>127.4</v>
      </c>
      <c r="P158">
        <v>144.19999999999999</v>
      </c>
      <c r="Q158">
        <v>133.5</v>
      </c>
      <c r="R158">
        <v>145.4</v>
      </c>
      <c r="S158">
        <v>138</v>
      </c>
      <c r="T158">
        <v>131.1</v>
      </c>
      <c r="U158">
        <v>137</v>
      </c>
      <c r="V158">
        <v>131.69999999999999</v>
      </c>
      <c r="W158">
        <v>129.80000000000001</v>
      </c>
      <c r="X158">
        <v>130.4</v>
      </c>
      <c r="Y158">
        <v>128.1</v>
      </c>
      <c r="Z158">
        <v>116.6</v>
      </c>
      <c r="AA158">
        <v>125.1</v>
      </c>
      <c r="AB158">
        <v>134.5</v>
      </c>
      <c r="AC158">
        <v>123.1</v>
      </c>
      <c r="AD158">
        <v>125.1</v>
      </c>
      <c r="AE158">
        <v>131.1</v>
      </c>
    </row>
    <row r="159" spans="2:31" x14ac:dyDescent="0.3">
      <c r="B159" t="s">
        <v>30</v>
      </c>
      <c r="C159">
        <v>2017</v>
      </c>
      <c r="D159" t="s">
        <v>38</v>
      </c>
      <c r="E159">
        <v>133.1</v>
      </c>
      <c r="F159">
        <v>140.30000000000001</v>
      </c>
      <c r="G159">
        <v>126.8</v>
      </c>
      <c r="H159">
        <v>138.19999999999999</v>
      </c>
      <c r="I159">
        <v>120.8</v>
      </c>
      <c r="J159">
        <v>140.19999999999999</v>
      </c>
      <c r="K159">
        <v>123.8</v>
      </c>
      <c r="L159">
        <v>141.80000000000001</v>
      </c>
      <c r="M159">
        <v>118.6</v>
      </c>
      <c r="N159">
        <v>134</v>
      </c>
      <c r="O159">
        <v>130.30000000000001</v>
      </c>
      <c r="P159">
        <v>145.80000000000001</v>
      </c>
      <c r="Q159">
        <v>133.80000000000001</v>
      </c>
      <c r="R159">
        <v>145.5</v>
      </c>
      <c r="S159">
        <v>142.5</v>
      </c>
      <c r="T159">
        <v>137.30000000000001</v>
      </c>
      <c r="U159">
        <v>141.80000000000001</v>
      </c>
      <c r="V159" t="s">
        <v>32</v>
      </c>
      <c r="W159">
        <v>135</v>
      </c>
      <c r="X159">
        <v>134.9</v>
      </c>
      <c r="Y159">
        <v>131.4</v>
      </c>
      <c r="Z159">
        <v>119.4</v>
      </c>
      <c r="AA159">
        <v>129.4</v>
      </c>
      <c r="AB159">
        <v>136.30000000000001</v>
      </c>
      <c r="AC159">
        <v>123.7</v>
      </c>
      <c r="AD159">
        <v>127.9</v>
      </c>
      <c r="AE159">
        <v>133.30000000000001</v>
      </c>
    </row>
    <row r="160" spans="2:31" x14ac:dyDescent="0.3">
      <c r="B160" t="s">
        <v>33</v>
      </c>
      <c r="C160">
        <v>2017</v>
      </c>
      <c r="D160" t="s">
        <v>38</v>
      </c>
      <c r="E160">
        <v>132.6</v>
      </c>
      <c r="F160">
        <v>144.1</v>
      </c>
      <c r="G160">
        <v>125.6</v>
      </c>
      <c r="H160">
        <v>136.80000000000001</v>
      </c>
      <c r="I160">
        <v>113.4</v>
      </c>
      <c r="J160">
        <v>135.19999999999999</v>
      </c>
      <c r="K160">
        <v>129.19999999999999</v>
      </c>
      <c r="L160">
        <v>131.5</v>
      </c>
      <c r="M160">
        <v>121</v>
      </c>
      <c r="N160">
        <v>139.9</v>
      </c>
      <c r="O160">
        <v>123.8</v>
      </c>
      <c r="P160">
        <v>142.9</v>
      </c>
      <c r="Q160">
        <v>133.6</v>
      </c>
      <c r="R160">
        <v>148.30000000000001</v>
      </c>
      <c r="S160">
        <v>131.5</v>
      </c>
      <c r="T160">
        <v>123.2</v>
      </c>
      <c r="U160">
        <v>130.19999999999999</v>
      </c>
      <c r="V160">
        <v>132.1</v>
      </c>
      <c r="W160">
        <v>120.1</v>
      </c>
      <c r="X160">
        <v>126.5</v>
      </c>
      <c r="Y160">
        <v>123.6</v>
      </c>
      <c r="Z160">
        <v>114.3</v>
      </c>
      <c r="AA160">
        <v>122.8</v>
      </c>
      <c r="AB160">
        <v>133.80000000000001</v>
      </c>
      <c r="AC160">
        <v>122</v>
      </c>
      <c r="AD160">
        <v>122.6</v>
      </c>
      <c r="AE160">
        <v>129.30000000000001</v>
      </c>
    </row>
    <row r="161" spans="2:31" x14ac:dyDescent="0.3">
      <c r="B161" t="s">
        <v>34</v>
      </c>
      <c r="C161">
        <v>2017</v>
      </c>
      <c r="D161" t="s">
        <v>38</v>
      </c>
      <c r="E161">
        <v>132.9</v>
      </c>
      <c r="F161">
        <v>141.6</v>
      </c>
      <c r="G161">
        <v>126.3</v>
      </c>
      <c r="H161">
        <v>137.69999999999999</v>
      </c>
      <c r="I161">
        <v>118.1</v>
      </c>
      <c r="J161">
        <v>137.9</v>
      </c>
      <c r="K161">
        <v>125.6</v>
      </c>
      <c r="L161">
        <v>138.30000000000001</v>
      </c>
      <c r="M161">
        <v>119.4</v>
      </c>
      <c r="N161">
        <v>136</v>
      </c>
      <c r="O161">
        <v>127.6</v>
      </c>
      <c r="P161">
        <v>144.5</v>
      </c>
      <c r="Q161">
        <v>133.69999999999999</v>
      </c>
      <c r="R161">
        <v>146.19999999999999</v>
      </c>
      <c r="S161">
        <v>138.19999999999999</v>
      </c>
      <c r="T161">
        <v>131.4</v>
      </c>
      <c r="U161">
        <v>137.19999999999999</v>
      </c>
      <c r="V161">
        <v>132.1</v>
      </c>
      <c r="W161">
        <v>129.4</v>
      </c>
      <c r="X161">
        <v>130.9</v>
      </c>
      <c r="Y161">
        <v>128.4</v>
      </c>
      <c r="Z161">
        <v>116.7</v>
      </c>
      <c r="AA161">
        <v>125.7</v>
      </c>
      <c r="AB161">
        <v>134.80000000000001</v>
      </c>
      <c r="AC161">
        <v>123</v>
      </c>
      <c r="AD161">
        <v>125.3</v>
      </c>
      <c r="AE161">
        <v>131.4</v>
      </c>
    </row>
    <row r="162" spans="2:31" x14ac:dyDescent="0.3">
      <c r="B162" t="s">
        <v>30</v>
      </c>
      <c r="C162">
        <v>2017</v>
      </c>
      <c r="D162" t="s">
        <v>39</v>
      </c>
      <c r="E162">
        <v>133.5</v>
      </c>
      <c r="F162">
        <v>143.69999999999999</v>
      </c>
      <c r="G162">
        <v>128</v>
      </c>
      <c r="H162">
        <v>138.6</v>
      </c>
      <c r="I162">
        <v>120.9</v>
      </c>
      <c r="J162">
        <v>140.9</v>
      </c>
      <c r="K162">
        <v>128.80000000000001</v>
      </c>
      <c r="L162">
        <v>140.19999999999999</v>
      </c>
      <c r="M162">
        <v>118.9</v>
      </c>
      <c r="N162">
        <v>133.5</v>
      </c>
      <c r="O162">
        <v>130.4</v>
      </c>
      <c r="P162">
        <v>146.5</v>
      </c>
      <c r="Q162">
        <v>134.9</v>
      </c>
      <c r="R162">
        <v>145.80000000000001</v>
      </c>
      <c r="S162">
        <v>143.1</v>
      </c>
      <c r="T162">
        <v>137.69999999999999</v>
      </c>
      <c r="U162">
        <v>142.30000000000001</v>
      </c>
      <c r="V162" t="s">
        <v>32</v>
      </c>
      <c r="W162">
        <v>134.80000000000001</v>
      </c>
      <c r="X162">
        <v>135.19999999999999</v>
      </c>
      <c r="Y162">
        <v>131.30000000000001</v>
      </c>
      <c r="Z162">
        <v>119.4</v>
      </c>
      <c r="AA162">
        <v>129.80000000000001</v>
      </c>
      <c r="AB162">
        <v>136.9</v>
      </c>
      <c r="AC162">
        <v>124.1</v>
      </c>
      <c r="AD162">
        <v>128.1</v>
      </c>
      <c r="AE162">
        <v>133.9</v>
      </c>
    </row>
    <row r="163" spans="2:31" x14ac:dyDescent="0.3">
      <c r="B163" t="s">
        <v>33</v>
      </c>
      <c r="C163">
        <v>2017</v>
      </c>
      <c r="D163" t="s">
        <v>39</v>
      </c>
      <c r="E163">
        <v>132.9</v>
      </c>
      <c r="F163">
        <v>148.69999999999999</v>
      </c>
      <c r="G163">
        <v>128.30000000000001</v>
      </c>
      <c r="H163">
        <v>137.30000000000001</v>
      </c>
      <c r="I163">
        <v>113.5</v>
      </c>
      <c r="J163">
        <v>137.19999999999999</v>
      </c>
      <c r="K163">
        <v>142.19999999999999</v>
      </c>
      <c r="L163">
        <v>128.19999999999999</v>
      </c>
      <c r="M163">
        <v>120.9</v>
      </c>
      <c r="N163">
        <v>138.80000000000001</v>
      </c>
      <c r="O163">
        <v>124.2</v>
      </c>
      <c r="P163">
        <v>143.1</v>
      </c>
      <c r="Q163">
        <v>135.69999999999999</v>
      </c>
      <c r="R163">
        <v>148.6</v>
      </c>
      <c r="S163">
        <v>131.5</v>
      </c>
      <c r="T163">
        <v>123.2</v>
      </c>
      <c r="U163">
        <v>130.19999999999999</v>
      </c>
      <c r="V163">
        <v>131.4</v>
      </c>
      <c r="W163">
        <v>119</v>
      </c>
      <c r="X163">
        <v>126.8</v>
      </c>
      <c r="Y163">
        <v>123.8</v>
      </c>
      <c r="Z163">
        <v>113.9</v>
      </c>
      <c r="AA163">
        <v>122.9</v>
      </c>
      <c r="AB163">
        <v>134.30000000000001</v>
      </c>
      <c r="AC163">
        <v>122.5</v>
      </c>
      <c r="AD163">
        <v>122.7</v>
      </c>
      <c r="AE163">
        <v>129.9</v>
      </c>
    </row>
    <row r="164" spans="2:31" x14ac:dyDescent="0.3">
      <c r="B164" t="s">
        <v>34</v>
      </c>
      <c r="C164">
        <v>2017</v>
      </c>
      <c r="D164" t="s">
        <v>39</v>
      </c>
      <c r="E164">
        <v>133.30000000000001</v>
      </c>
      <c r="F164">
        <v>145.5</v>
      </c>
      <c r="G164">
        <v>128.1</v>
      </c>
      <c r="H164">
        <v>138.1</v>
      </c>
      <c r="I164">
        <v>118.2</v>
      </c>
      <c r="J164">
        <v>139.19999999999999</v>
      </c>
      <c r="K164">
        <v>133.30000000000001</v>
      </c>
      <c r="L164">
        <v>136.19999999999999</v>
      </c>
      <c r="M164">
        <v>119.6</v>
      </c>
      <c r="N164">
        <v>135.30000000000001</v>
      </c>
      <c r="O164">
        <v>127.8</v>
      </c>
      <c r="P164">
        <v>144.9</v>
      </c>
      <c r="Q164">
        <v>135.19999999999999</v>
      </c>
      <c r="R164">
        <v>146.5</v>
      </c>
      <c r="S164">
        <v>138.5</v>
      </c>
      <c r="T164">
        <v>131.69999999999999</v>
      </c>
      <c r="U164">
        <v>137.5</v>
      </c>
      <c r="V164">
        <v>131.4</v>
      </c>
      <c r="W164">
        <v>128.80000000000001</v>
      </c>
      <c r="X164">
        <v>131.19999999999999</v>
      </c>
      <c r="Y164">
        <v>128.5</v>
      </c>
      <c r="Z164">
        <v>116.5</v>
      </c>
      <c r="AA164">
        <v>125.9</v>
      </c>
      <c r="AB164">
        <v>135.4</v>
      </c>
      <c r="AC164">
        <v>123.4</v>
      </c>
      <c r="AD164">
        <v>125.5</v>
      </c>
      <c r="AE164">
        <v>132</v>
      </c>
    </row>
    <row r="165" spans="2:31" x14ac:dyDescent="0.3">
      <c r="B165" t="s">
        <v>30</v>
      </c>
      <c r="C165">
        <v>2017</v>
      </c>
      <c r="D165" t="s">
        <v>40</v>
      </c>
      <c r="E165">
        <v>134</v>
      </c>
      <c r="F165">
        <v>144.19999999999999</v>
      </c>
      <c r="G165">
        <v>129.80000000000001</v>
      </c>
      <c r="H165">
        <v>139</v>
      </c>
      <c r="I165">
        <v>120.9</v>
      </c>
      <c r="J165">
        <v>143.9</v>
      </c>
      <c r="K165">
        <v>151.5</v>
      </c>
      <c r="L165">
        <v>138.1</v>
      </c>
      <c r="M165">
        <v>120</v>
      </c>
      <c r="N165">
        <v>133.9</v>
      </c>
      <c r="O165">
        <v>131.4</v>
      </c>
      <c r="P165">
        <v>147.69999999999999</v>
      </c>
      <c r="Q165">
        <v>138.5</v>
      </c>
      <c r="R165">
        <v>147.4</v>
      </c>
      <c r="S165">
        <v>144.30000000000001</v>
      </c>
      <c r="T165">
        <v>138.1</v>
      </c>
      <c r="U165">
        <v>143.5</v>
      </c>
      <c r="V165" t="s">
        <v>32</v>
      </c>
      <c r="W165">
        <v>135.30000000000001</v>
      </c>
      <c r="X165">
        <v>136.1</v>
      </c>
      <c r="Y165">
        <v>132.1</v>
      </c>
      <c r="Z165">
        <v>119.1</v>
      </c>
      <c r="AA165">
        <v>130.6</v>
      </c>
      <c r="AB165">
        <v>138.6</v>
      </c>
      <c r="AC165">
        <v>124.4</v>
      </c>
      <c r="AD165">
        <v>128.6</v>
      </c>
      <c r="AE165">
        <v>136.19999999999999</v>
      </c>
    </row>
    <row r="166" spans="2:31" x14ac:dyDescent="0.3">
      <c r="B166" t="s">
        <v>33</v>
      </c>
      <c r="C166">
        <v>2017</v>
      </c>
      <c r="D166" t="s">
        <v>40</v>
      </c>
      <c r="E166">
        <v>132.80000000000001</v>
      </c>
      <c r="F166">
        <v>148.4</v>
      </c>
      <c r="G166">
        <v>129.4</v>
      </c>
      <c r="H166">
        <v>137.69999999999999</v>
      </c>
      <c r="I166">
        <v>113.4</v>
      </c>
      <c r="J166">
        <v>139.4</v>
      </c>
      <c r="K166">
        <v>175.1</v>
      </c>
      <c r="L166">
        <v>124.7</v>
      </c>
      <c r="M166">
        <v>121.5</v>
      </c>
      <c r="N166">
        <v>137.80000000000001</v>
      </c>
      <c r="O166">
        <v>124.4</v>
      </c>
      <c r="P166">
        <v>143.69999999999999</v>
      </c>
      <c r="Q166">
        <v>139.80000000000001</v>
      </c>
      <c r="R166">
        <v>150.5</v>
      </c>
      <c r="S166">
        <v>131.6</v>
      </c>
      <c r="T166">
        <v>123.7</v>
      </c>
      <c r="U166">
        <v>130.4</v>
      </c>
      <c r="V166">
        <v>132.6</v>
      </c>
      <c r="W166">
        <v>119.7</v>
      </c>
      <c r="X166">
        <v>127.2</v>
      </c>
      <c r="Y166">
        <v>125</v>
      </c>
      <c r="Z166">
        <v>113.2</v>
      </c>
      <c r="AA166">
        <v>123.5</v>
      </c>
      <c r="AB166">
        <v>135.5</v>
      </c>
      <c r="AC166">
        <v>122.4</v>
      </c>
      <c r="AD166">
        <v>123</v>
      </c>
      <c r="AE166">
        <v>131.80000000000001</v>
      </c>
    </row>
    <row r="167" spans="2:31" x14ac:dyDescent="0.3">
      <c r="B167" t="s">
        <v>34</v>
      </c>
      <c r="C167">
        <v>2017</v>
      </c>
      <c r="D167" t="s">
        <v>40</v>
      </c>
      <c r="E167">
        <v>133.6</v>
      </c>
      <c r="F167">
        <v>145.69999999999999</v>
      </c>
      <c r="G167">
        <v>129.6</v>
      </c>
      <c r="H167">
        <v>138.5</v>
      </c>
      <c r="I167">
        <v>118.1</v>
      </c>
      <c r="J167">
        <v>141.80000000000001</v>
      </c>
      <c r="K167">
        <v>159.5</v>
      </c>
      <c r="L167">
        <v>133.6</v>
      </c>
      <c r="M167">
        <v>120.5</v>
      </c>
      <c r="N167">
        <v>135.19999999999999</v>
      </c>
      <c r="O167">
        <v>128.5</v>
      </c>
      <c r="P167">
        <v>145.80000000000001</v>
      </c>
      <c r="Q167">
        <v>139</v>
      </c>
      <c r="R167">
        <v>148.19999999999999</v>
      </c>
      <c r="S167">
        <v>139.30000000000001</v>
      </c>
      <c r="T167">
        <v>132.1</v>
      </c>
      <c r="U167">
        <v>138.30000000000001</v>
      </c>
      <c r="V167">
        <v>132.6</v>
      </c>
      <c r="W167">
        <v>129.4</v>
      </c>
      <c r="X167">
        <v>131.9</v>
      </c>
      <c r="Y167">
        <v>129.4</v>
      </c>
      <c r="Z167">
        <v>116</v>
      </c>
      <c r="AA167">
        <v>126.6</v>
      </c>
      <c r="AB167">
        <v>136.80000000000001</v>
      </c>
      <c r="AC167">
        <v>123.6</v>
      </c>
      <c r="AD167">
        <v>125.9</v>
      </c>
      <c r="AE167">
        <v>134.19999999999999</v>
      </c>
    </row>
    <row r="168" spans="2:31" x14ac:dyDescent="0.3">
      <c r="B168" t="s">
        <v>30</v>
      </c>
      <c r="C168">
        <v>2017</v>
      </c>
      <c r="D168" t="s">
        <v>41</v>
      </c>
      <c r="E168">
        <v>134.80000000000001</v>
      </c>
      <c r="F168">
        <v>143.1</v>
      </c>
      <c r="G168">
        <v>130</v>
      </c>
      <c r="H168">
        <v>139.4</v>
      </c>
      <c r="I168">
        <v>120.5</v>
      </c>
      <c r="J168">
        <v>148</v>
      </c>
      <c r="K168">
        <v>162.9</v>
      </c>
      <c r="L168">
        <v>137.4</v>
      </c>
      <c r="M168">
        <v>120.8</v>
      </c>
      <c r="N168">
        <v>134.69999999999999</v>
      </c>
      <c r="O168">
        <v>131.6</v>
      </c>
      <c r="P168">
        <v>148.69999999999999</v>
      </c>
      <c r="Q168">
        <v>140.6</v>
      </c>
      <c r="R168">
        <v>149</v>
      </c>
      <c r="S168">
        <v>145.30000000000001</v>
      </c>
      <c r="T168">
        <v>139.19999999999999</v>
      </c>
      <c r="U168">
        <v>144.5</v>
      </c>
      <c r="V168" t="s">
        <v>32</v>
      </c>
      <c r="W168">
        <v>136.4</v>
      </c>
      <c r="X168">
        <v>137.30000000000001</v>
      </c>
      <c r="Y168">
        <v>133</v>
      </c>
      <c r="Z168">
        <v>120.3</v>
      </c>
      <c r="AA168">
        <v>131.5</v>
      </c>
      <c r="AB168">
        <v>140.19999999999999</v>
      </c>
      <c r="AC168">
        <v>125.4</v>
      </c>
      <c r="AD168">
        <v>129.69999999999999</v>
      </c>
      <c r="AE168">
        <v>137.80000000000001</v>
      </c>
    </row>
    <row r="169" spans="2:31" x14ac:dyDescent="0.3">
      <c r="B169" t="s">
        <v>33</v>
      </c>
      <c r="C169">
        <v>2017</v>
      </c>
      <c r="D169" t="s">
        <v>41</v>
      </c>
      <c r="E169">
        <v>133.19999999999999</v>
      </c>
      <c r="F169">
        <v>143.9</v>
      </c>
      <c r="G169">
        <v>128.30000000000001</v>
      </c>
      <c r="H169">
        <v>138.30000000000001</v>
      </c>
      <c r="I169">
        <v>114.1</v>
      </c>
      <c r="J169">
        <v>142.69999999999999</v>
      </c>
      <c r="K169">
        <v>179.8</v>
      </c>
      <c r="L169">
        <v>123.5</v>
      </c>
      <c r="M169">
        <v>122.1</v>
      </c>
      <c r="N169">
        <v>137.5</v>
      </c>
      <c r="O169">
        <v>124.6</v>
      </c>
      <c r="P169">
        <v>144.5</v>
      </c>
      <c r="Q169">
        <v>140.5</v>
      </c>
      <c r="R169">
        <v>152.1</v>
      </c>
      <c r="S169">
        <v>132.69999999999999</v>
      </c>
      <c r="T169">
        <v>124.3</v>
      </c>
      <c r="U169">
        <v>131.4</v>
      </c>
      <c r="V169">
        <v>134.4</v>
      </c>
      <c r="W169">
        <v>118.9</v>
      </c>
      <c r="X169">
        <v>127.7</v>
      </c>
      <c r="Y169">
        <v>125.7</v>
      </c>
      <c r="Z169">
        <v>114.6</v>
      </c>
      <c r="AA169">
        <v>124.1</v>
      </c>
      <c r="AB169">
        <v>135.69999999999999</v>
      </c>
      <c r="AC169">
        <v>123.3</v>
      </c>
      <c r="AD169">
        <v>123.8</v>
      </c>
      <c r="AE169">
        <v>132.69999999999999</v>
      </c>
    </row>
    <row r="170" spans="2:31" x14ac:dyDescent="0.3">
      <c r="B170" t="s">
        <v>34</v>
      </c>
      <c r="C170">
        <v>2017</v>
      </c>
      <c r="D170" t="s">
        <v>41</v>
      </c>
      <c r="E170">
        <v>134.30000000000001</v>
      </c>
      <c r="F170">
        <v>143.4</v>
      </c>
      <c r="G170">
        <v>129.30000000000001</v>
      </c>
      <c r="H170">
        <v>139</v>
      </c>
      <c r="I170">
        <v>118.1</v>
      </c>
      <c r="J170">
        <v>145.5</v>
      </c>
      <c r="K170">
        <v>168.6</v>
      </c>
      <c r="L170">
        <v>132.69999999999999</v>
      </c>
      <c r="M170">
        <v>121.2</v>
      </c>
      <c r="N170">
        <v>135.6</v>
      </c>
      <c r="O170">
        <v>128.69999999999999</v>
      </c>
      <c r="P170">
        <v>146.80000000000001</v>
      </c>
      <c r="Q170">
        <v>140.6</v>
      </c>
      <c r="R170">
        <v>149.80000000000001</v>
      </c>
      <c r="S170">
        <v>140.30000000000001</v>
      </c>
      <c r="T170">
        <v>133</v>
      </c>
      <c r="U170">
        <v>139.30000000000001</v>
      </c>
      <c r="V170">
        <v>134.4</v>
      </c>
      <c r="W170">
        <v>129.80000000000001</v>
      </c>
      <c r="X170">
        <v>132.80000000000001</v>
      </c>
      <c r="Y170">
        <v>130.19999999999999</v>
      </c>
      <c r="Z170">
        <v>117.3</v>
      </c>
      <c r="AA170">
        <v>127.3</v>
      </c>
      <c r="AB170">
        <v>137.6</v>
      </c>
      <c r="AC170">
        <v>124.5</v>
      </c>
      <c r="AD170">
        <v>126.8</v>
      </c>
      <c r="AE170">
        <v>135.4</v>
      </c>
    </row>
    <row r="171" spans="2:31" x14ac:dyDescent="0.3">
      <c r="B171" t="s">
        <v>30</v>
      </c>
      <c r="C171">
        <v>2017</v>
      </c>
      <c r="D171" t="s">
        <v>42</v>
      </c>
      <c r="E171">
        <v>135.19999999999999</v>
      </c>
      <c r="F171">
        <v>142</v>
      </c>
      <c r="G171">
        <v>130.5</v>
      </c>
      <c r="H171">
        <v>140.19999999999999</v>
      </c>
      <c r="I171">
        <v>120.7</v>
      </c>
      <c r="J171">
        <v>147.80000000000001</v>
      </c>
      <c r="K171">
        <v>154.5</v>
      </c>
      <c r="L171">
        <v>137.1</v>
      </c>
      <c r="M171">
        <v>121</v>
      </c>
      <c r="N171">
        <v>134.69999999999999</v>
      </c>
      <c r="O171">
        <v>131.69999999999999</v>
      </c>
      <c r="P171">
        <v>149.30000000000001</v>
      </c>
      <c r="Q171">
        <v>139.6</v>
      </c>
      <c r="R171">
        <v>149.80000000000001</v>
      </c>
      <c r="S171">
        <v>146.1</v>
      </c>
      <c r="T171">
        <v>139.69999999999999</v>
      </c>
      <c r="U171">
        <v>145.19999999999999</v>
      </c>
      <c r="V171" t="s">
        <v>32</v>
      </c>
      <c r="W171">
        <v>137.4</v>
      </c>
      <c r="X171">
        <v>137.9</v>
      </c>
      <c r="Y171">
        <v>133.4</v>
      </c>
      <c r="Z171">
        <v>121.2</v>
      </c>
      <c r="AA171">
        <v>132.30000000000001</v>
      </c>
      <c r="AB171">
        <v>139.6</v>
      </c>
      <c r="AC171">
        <v>126.7</v>
      </c>
      <c r="AD171">
        <v>130.30000000000001</v>
      </c>
      <c r="AE171">
        <v>137.6</v>
      </c>
    </row>
    <row r="172" spans="2:31" x14ac:dyDescent="0.3">
      <c r="B172" t="s">
        <v>33</v>
      </c>
      <c r="C172">
        <v>2017</v>
      </c>
      <c r="D172" t="s">
        <v>42</v>
      </c>
      <c r="E172">
        <v>133.6</v>
      </c>
      <c r="F172">
        <v>143</v>
      </c>
      <c r="G172">
        <v>129.69999999999999</v>
      </c>
      <c r="H172">
        <v>138.69999999999999</v>
      </c>
      <c r="I172">
        <v>114.5</v>
      </c>
      <c r="J172">
        <v>137.5</v>
      </c>
      <c r="K172">
        <v>160.69999999999999</v>
      </c>
      <c r="L172">
        <v>124.5</v>
      </c>
      <c r="M172">
        <v>122.4</v>
      </c>
      <c r="N172">
        <v>137.30000000000001</v>
      </c>
      <c r="O172">
        <v>124.8</v>
      </c>
      <c r="P172">
        <v>145</v>
      </c>
      <c r="Q172">
        <v>138</v>
      </c>
      <c r="R172">
        <v>153.6</v>
      </c>
      <c r="S172">
        <v>133.30000000000001</v>
      </c>
      <c r="T172">
        <v>124.6</v>
      </c>
      <c r="U172">
        <v>132</v>
      </c>
      <c r="V172">
        <v>135.69999999999999</v>
      </c>
      <c r="W172">
        <v>120.6</v>
      </c>
      <c r="X172">
        <v>128.1</v>
      </c>
      <c r="Y172">
        <v>126.1</v>
      </c>
      <c r="Z172">
        <v>115.7</v>
      </c>
      <c r="AA172">
        <v>124.5</v>
      </c>
      <c r="AB172">
        <v>135.9</v>
      </c>
      <c r="AC172">
        <v>124.4</v>
      </c>
      <c r="AD172">
        <v>124.5</v>
      </c>
      <c r="AE172">
        <v>132.4</v>
      </c>
    </row>
    <row r="173" spans="2:31" x14ac:dyDescent="0.3">
      <c r="B173" t="s">
        <v>34</v>
      </c>
      <c r="C173">
        <v>2017</v>
      </c>
      <c r="D173" t="s">
        <v>42</v>
      </c>
      <c r="E173">
        <v>134.69999999999999</v>
      </c>
      <c r="F173">
        <v>142.4</v>
      </c>
      <c r="G173">
        <v>130.19999999999999</v>
      </c>
      <c r="H173">
        <v>139.6</v>
      </c>
      <c r="I173">
        <v>118.4</v>
      </c>
      <c r="J173">
        <v>143</v>
      </c>
      <c r="K173">
        <v>156.6</v>
      </c>
      <c r="L173">
        <v>132.9</v>
      </c>
      <c r="M173">
        <v>121.5</v>
      </c>
      <c r="N173">
        <v>135.6</v>
      </c>
      <c r="O173">
        <v>128.80000000000001</v>
      </c>
      <c r="P173">
        <v>147.30000000000001</v>
      </c>
      <c r="Q173">
        <v>139</v>
      </c>
      <c r="R173">
        <v>150.80000000000001</v>
      </c>
      <c r="S173">
        <v>141.1</v>
      </c>
      <c r="T173">
        <v>133.4</v>
      </c>
      <c r="U173">
        <v>140</v>
      </c>
      <c r="V173">
        <v>135.69999999999999</v>
      </c>
      <c r="W173">
        <v>131</v>
      </c>
      <c r="X173">
        <v>133.30000000000001</v>
      </c>
      <c r="Y173">
        <v>130.6</v>
      </c>
      <c r="Z173">
        <v>118.3</v>
      </c>
      <c r="AA173">
        <v>127.9</v>
      </c>
      <c r="AB173">
        <v>137.4</v>
      </c>
      <c r="AC173">
        <v>125.7</v>
      </c>
      <c r="AD173">
        <v>127.5</v>
      </c>
      <c r="AE173">
        <v>135.19999999999999</v>
      </c>
    </row>
    <row r="174" spans="2:31" x14ac:dyDescent="0.3">
      <c r="B174" t="s">
        <v>30</v>
      </c>
      <c r="C174">
        <v>2017</v>
      </c>
      <c r="D174" t="s">
        <v>43</v>
      </c>
      <c r="E174">
        <v>135.9</v>
      </c>
      <c r="F174">
        <v>141.9</v>
      </c>
      <c r="G174">
        <v>131</v>
      </c>
      <c r="H174">
        <v>141.5</v>
      </c>
      <c r="I174">
        <v>121.4</v>
      </c>
      <c r="J174">
        <v>146.69999999999999</v>
      </c>
      <c r="K174">
        <v>157.1</v>
      </c>
      <c r="L174">
        <v>136.4</v>
      </c>
      <c r="M174">
        <v>121.4</v>
      </c>
      <c r="N174">
        <v>135.6</v>
      </c>
      <c r="O174">
        <v>131.30000000000001</v>
      </c>
      <c r="P174">
        <v>150.30000000000001</v>
      </c>
      <c r="Q174">
        <v>140.4</v>
      </c>
      <c r="R174">
        <v>150.5</v>
      </c>
      <c r="S174">
        <v>147.19999999999999</v>
      </c>
      <c r="T174">
        <v>140.6</v>
      </c>
      <c r="U174">
        <v>146.19999999999999</v>
      </c>
      <c r="V174" t="s">
        <v>32</v>
      </c>
      <c r="W174">
        <v>138.1</v>
      </c>
      <c r="X174">
        <v>138.4</v>
      </c>
      <c r="Y174">
        <v>134.19999999999999</v>
      </c>
      <c r="Z174">
        <v>121</v>
      </c>
      <c r="AA174">
        <v>133</v>
      </c>
      <c r="AB174">
        <v>140.1</v>
      </c>
      <c r="AC174">
        <v>127.4</v>
      </c>
      <c r="AD174">
        <v>130.69999999999999</v>
      </c>
      <c r="AE174">
        <v>138.30000000000001</v>
      </c>
    </row>
    <row r="175" spans="2:31" x14ac:dyDescent="0.3">
      <c r="B175" t="s">
        <v>33</v>
      </c>
      <c r="C175">
        <v>2017</v>
      </c>
      <c r="D175" t="s">
        <v>43</v>
      </c>
      <c r="E175">
        <v>133.9</v>
      </c>
      <c r="F175">
        <v>142.80000000000001</v>
      </c>
      <c r="G175">
        <v>131.4</v>
      </c>
      <c r="H175">
        <v>139.1</v>
      </c>
      <c r="I175">
        <v>114.9</v>
      </c>
      <c r="J175">
        <v>135.6</v>
      </c>
      <c r="K175">
        <v>173.2</v>
      </c>
      <c r="L175">
        <v>124.1</v>
      </c>
      <c r="M175">
        <v>122.6</v>
      </c>
      <c r="N175">
        <v>137.80000000000001</v>
      </c>
      <c r="O175">
        <v>125.1</v>
      </c>
      <c r="P175">
        <v>145.5</v>
      </c>
      <c r="Q175">
        <v>139.69999999999999</v>
      </c>
      <c r="R175">
        <v>154.6</v>
      </c>
      <c r="S175">
        <v>134</v>
      </c>
      <c r="T175">
        <v>124.9</v>
      </c>
      <c r="U175">
        <v>132.6</v>
      </c>
      <c r="V175">
        <v>137.30000000000001</v>
      </c>
      <c r="W175">
        <v>122.6</v>
      </c>
      <c r="X175">
        <v>128.30000000000001</v>
      </c>
      <c r="Y175">
        <v>126.6</v>
      </c>
      <c r="Z175">
        <v>115</v>
      </c>
      <c r="AA175">
        <v>124.8</v>
      </c>
      <c r="AB175">
        <v>136.30000000000001</v>
      </c>
      <c r="AC175">
        <v>124.6</v>
      </c>
      <c r="AD175">
        <v>124.5</v>
      </c>
      <c r="AE175">
        <v>133.5</v>
      </c>
    </row>
    <row r="176" spans="2:31" x14ac:dyDescent="0.3">
      <c r="B176" t="s">
        <v>34</v>
      </c>
      <c r="C176">
        <v>2017</v>
      </c>
      <c r="D176" t="s">
        <v>43</v>
      </c>
      <c r="E176">
        <v>135.30000000000001</v>
      </c>
      <c r="F176">
        <v>142.19999999999999</v>
      </c>
      <c r="G176">
        <v>131.19999999999999</v>
      </c>
      <c r="H176">
        <v>140.6</v>
      </c>
      <c r="I176">
        <v>119</v>
      </c>
      <c r="J176">
        <v>141.5</v>
      </c>
      <c r="K176">
        <v>162.6</v>
      </c>
      <c r="L176">
        <v>132.30000000000001</v>
      </c>
      <c r="M176">
        <v>121.8</v>
      </c>
      <c r="N176">
        <v>136.30000000000001</v>
      </c>
      <c r="O176">
        <v>128.69999999999999</v>
      </c>
      <c r="P176">
        <v>148.1</v>
      </c>
      <c r="Q176">
        <v>140.1</v>
      </c>
      <c r="R176">
        <v>151.6</v>
      </c>
      <c r="S176">
        <v>142</v>
      </c>
      <c r="T176">
        <v>134.1</v>
      </c>
      <c r="U176">
        <v>140.80000000000001</v>
      </c>
      <c r="V176">
        <v>137.30000000000001</v>
      </c>
      <c r="W176">
        <v>132.19999999999999</v>
      </c>
      <c r="X176">
        <v>133.6</v>
      </c>
      <c r="Y176">
        <v>131.30000000000001</v>
      </c>
      <c r="Z176">
        <v>117.8</v>
      </c>
      <c r="AA176">
        <v>128.4</v>
      </c>
      <c r="AB176">
        <v>137.9</v>
      </c>
      <c r="AC176">
        <v>126.2</v>
      </c>
      <c r="AD176">
        <v>127.7</v>
      </c>
      <c r="AE176">
        <v>136.1</v>
      </c>
    </row>
    <row r="177" spans="2:31" x14ac:dyDescent="0.3">
      <c r="B177" t="s">
        <v>30</v>
      </c>
      <c r="C177">
        <v>2017</v>
      </c>
      <c r="D177" t="s">
        <v>45</v>
      </c>
      <c r="E177">
        <v>136.30000000000001</v>
      </c>
      <c r="F177">
        <v>142.5</v>
      </c>
      <c r="G177">
        <v>140.5</v>
      </c>
      <c r="H177">
        <v>141.5</v>
      </c>
      <c r="I177">
        <v>121.6</v>
      </c>
      <c r="J177">
        <v>147.30000000000001</v>
      </c>
      <c r="K177">
        <v>168</v>
      </c>
      <c r="L177">
        <v>135.80000000000001</v>
      </c>
      <c r="M177">
        <v>122.5</v>
      </c>
      <c r="N177">
        <v>136</v>
      </c>
      <c r="O177">
        <v>131.9</v>
      </c>
      <c r="P177">
        <v>151.4</v>
      </c>
      <c r="Q177">
        <v>142.4</v>
      </c>
      <c r="R177">
        <v>152.1</v>
      </c>
      <c r="S177">
        <v>148.19999999999999</v>
      </c>
      <c r="T177">
        <v>141.5</v>
      </c>
      <c r="U177">
        <v>147.30000000000001</v>
      </c>
      <c r="V177" t="s">
        <v>32</v>
      </c>
      <c r="W177">
        <v>141.1</v>
      </c>
      <c r="X177">
        <v>139.4</v>
      </c>
      <c r="Y177">
        <v>135.80000000000001</v>
      </c>
      <c r="Z177">
        <v>121.6</v>
      </c>
      <c r="AA177">
        <v>133.69999999999999</v>
      </c>
      <c r="AB177">
        <v>141.5</v>
      </c>
      <c r="AC177">
        <v>128.1</v>
      </c>
      <c r="AD177">
        <v>131.69999999999999</v>
      </c>
      <c r="AE177">
        <v>140</v>
      </c>
    </row>
    <row r="178" spans="2:31" x14ac:dyDescent="0.3">
      <c r="B178" t="s">
        <v>33</v>
      </c>
      <c r="C178">
        <v>2017</v>
      </c>
      <c r="D178" t="s">
        <v>45</v>
      </c>
      <c r="E178">
        <v>134.30000000000001</v>
      </c>
      <c r="F178">
        <v>142.1</v>
      </c>
      <c r="G178">
        <v>146.69999999999999</v>
      </c>
      <c r="H178">
        <v>139.5</v>
      </c>
      <c r="I178">
        <v>115.2</v>
      </c>
      <c r="J178">
        <v>136.4</v>
      </c>
      <c r="K178">
        <v>185.2</v>
      </c>
      <c r="L178">
        <v>122.2</v>
      </c>
      <c r="M178">
        <v>123.9</v>
      </c>
      <c r="N178">
        <v>138.30000000000001</v>
      </c>
      <c r="O178">
        <v>125.4</v>
      </c>
      <c r="P178">
        <v>146</v>
      </c>
      <c r="Q178">
        <v>141.5</v>
      </c>
      <c r="R178">
        <v>156.19999999999999</v>
      </c>
      <c r="S178">
        <v>135</v>
      </c>
      <c r="T178">
        <v>125.4</v>
      </c>
      <c r="U178">
        <v>133.5</v>
      </c>
      <c r="V178">
        <v>138.6</v>
      </c>
      <c r="W178">
        <v>125.7</v>
      </c>
      <c r="X178">
        <v>128.80000000000001</v>
      </c>
      <c r="Y178">
        <v>127.4</v>
      </c>
      <c r="Z178">
        <v>115.3</v>
      </c>
      <c r="AA178">
        <v>125.1</v>
      </c>
      <c r="AB178">
        <v>136.6</v>
      </c>
      <c r="AC178">
        <v>124.9</v>
      </c>
      <c r="AD178">
        <v>124.9</v>
      </c>
      <c r="AE178">
        <v>134.80000000000001</v>
      </c>
    </row>
    <row r="179" spans="2:31" x14ac:dyDescent="0.3">
      <c r="B179" t="s">
        <v>34</v>
      </c>
      <c r="C179">
        <v>2017</v>
      </c>
      <c r="D179" t="s">
        <v>45</v>
      </c>
      <c r="E179">
        <v>135.69999999999999</v>
      </c>
      <c r="F179">
        <v>142.4</v>
      </c>
      <c r="G179">
        <v>142.9</v>
      </c>
      <c r="H179">
        <v>140.80000000000001</v>
      </c>
      <c r="I179">
        <v>119.2</v>
      </c>
      <c r="J179">
        <v>142.19999999999999</v>
      </c>
      <c r="K179">
        <v>173.8</v>
      </c>
      <c r="L179">
        <v>131.19999999999999</v>
      </c>
      <c r="M179">
        <v>123</v>
      </c>
      <c r="N179">
        <v>136.80000000000001</v>
      </c>
      <c r="O179">
        <v>129.19999999999999</v>
      </c>
      <c r="P179">
        <v>148.9</v>
      </c>
      <c r="Q179">
        <v>142.1</v>
      </c>
      <c r="R179">
        <v>153.19999999999999</v>
      </c>
      <c r="S179">
        <v>143</v>
      </c>
      <c r="T179">
        <v>134.80000000000001</v>
      </c>
      <c r="U179">
        <v>141.80000000000001</v>
      </c>
      <c r="V179">
        <v>138.6</v>
      </c>
      <c r="W179">
        <v>135.30000000000001</v>
      </c>
      <c r="X179">
        <v>134.4</v>
      </c>
      <c r="Y179">
        <v>132.6</v>
      </c>
      <c r="Z179">
        <v>118.3</v>
      </c>
      <c r="AA179">
        <v>128.9</v>
      </c>
      <c r="AB179">
        <v>138.6</v>
      </c>
      <c r="AC179">
        <v>126.8</v>
      </c>
      <c r="AD179">
        <v>128.4</v>
      </c>
      <c r="AE179">
        <v>137.6</v>
      </c>
    </row>
    <row r="180" spans="2:31" x14ac:dyDescent="0.3">
      <c r="B180" t="s">
        <v>30</v>
      </c>
      <c r="C180">
        <v>2017</v>
      </c>
      <c r="D180" t="s">
        <v>46</v>
      </c>
      <c r="E180">
        <v>136.4</v>
      </c>
      <c r="F180">
        <v>143.69999999999999</v>
      </c>
      <c r="G180">
        <v>144.80000000000001</v>
      </c>
      <c r="H180">
        <v>141.9</v>
      </c>
      <c r="I180">
        <v>123.1</v>
      </c>
      <c r="J180">
        <v>147.19999999999999</v>
      </c>
      <c r="K180">
        <v>161</v>
      </c>
      <c r="L180">
        <v>133.80000000000001</v>
      </c>
      <c r="M180">
        <v>121.9</v>
      </c>
      <c r="N180">
        <v>135.80000000000001</v>
      </c>
      <c r="O180">
        <v>131.1</v>
      </c>
      <c r="P180">
        <v>151.4</v>
      </c>
      <c r="Q180">
        <v>141.5</v>
      </c>
      <c r="R180">
        <v>153.19999999999999</v>
      </c>
      <c r="S180">
        <v>148</v>
      </c>
      <c r="T180">
        <v>141.9</v>
      </c>
      <c r="U180">
        <v>147.19999999999999</v>
      </c>
      <c r="V180" t="s">
        <v>32</v>
      </c>
      <c r="W180">
        <v>142.6</v>
      </c>
      <c r="X180">
        <v>139.5</v>
      </c>
      <c r="Y180">
        <v>136.1</v>
      </c>
      <c r="Z180">
        <v>122</v>
      </c>
      <c r="AA180">
        <v>133.4</v>
      </c>
      <c r="AB180">
        <v>141.1</v>
      </c>
      <c r="AC180">
        <v>127.8</v>
      </c>
      <c r="AD180">
        <v>131.9</v>
      </c>
      <c r="AE180">
        <v>139.80000000000001</v>
      </c>
    </row>
    <row r="181" spans="2:31" x14ac:dyDescent="0.3">
      <c r="B181" t="s">
        <v>33</v>
      </c>
      <c r="C181">
        <v>2017</v>
      </c>
      <c r="D181" t="s">
        <v>46</v>
      </c>
      <c r="E181">
        <v>134.4</v>
      </c>
      <c r="F181">
        <v>142.6</v>
      </c>
      <c r="G181">
        <v>145.9</v>
      </c>
      <c r="H181">
        <v>139.5</v>
      </c>
      <c r="I181">
        <v>115.9</v>
      </c>
      <c r="J181">
        <v>135</v>
      </c>
      <c r="K181">
        <v>163.19999999999999</v>
      </c>
      <c r="L181">
        <v>119.8</v>
      </c>
      <c r="M181">
        <v>120.7</v>
      </c>
      <c r="N181">
        <v>139.69999999999999</v>
      </c>
      <c r="O181">
        <v>125.7</v>
      </c>
      <c r="P181">
        <v>146.30000000000001</v>
      </c>
      <c r="Q181">
        <v>138.80000000000001</v>
      </c>
      <c r="R181">
        <v>157</v>
      </c>
      <c r="S181">
        <v>135.6</v>
      </c>
      <c r="T181">
        <v>125.6</v>
      </c>
      <c r="U181">
        <v>134</v>
      </c>
      <c r="V181">
        <v>139.1</v>
      </c>
      <c r="W181">
        <v>126.8</v>
      </c>
      <c r="X181">
        <v>129.30000000000001</v>
      </c>
      <c r="Y181">
        <v>128.19999999999999</v>
      </c>
      <c r="Z181">
        <v>115.3</v>
      </c>
      <c r="AA181">
        <v>125.6</v>
      </c>
      <c r="AB181">
        <v>136.69999999999999</v>
      </c>
      <c r="AC181">
        <v>124.6</v>
      </c>
      <c r="AD181">
        <v>125.1</v>
      </c>
      <c r="AE181">
        <v>134.1</v>
      </c>
    </row>
    <row r="182" spans="2:31" x14ac:dyDescent="0.3">
      <c r="B182" t="s">
        <v>34</v>
      </c>
      <c r="C182">
        <v>2017</v>
      </c>
      <c r="D182" t="s">
        <v>46</v>
      </c>
      <c r="E182">
        <v>135.80000000000001</v>
      </c>
      <c r="F182">
        <v>143.30000000000001</v>
      </c>
      <c r="G182">
        <v>145.19999999999999</v>
      </c>
      <c r="H182">
        <v>141</v>
      </c>
      <c r="I182">
        <v>120.5</v>
      </c>
      <c r="J182">
        <v>141.5</v>
      </c>
      <c r="K182">
        <v>161.69999999999999</v>
      </c>
      <c r="L182">
        <v>129.1</v>
      </c>
      <c r="M182">
        <v>121.5</v>
      </c>
      <c r="N182">
        <v>137.1</v>
      </c>
      <c r="O182">
        <v>128.80000000000001</v>
      </c>
      <c r="P182">
        <v>149</v>
      </c>
      <c r="Q182">
        <v>140.5</v>
      </c>
      <c r="R182">
        <v>154.19999999999999</v>
      </c>
      <c r="S182">
        <v>143.1</v>
      </c>
      <c r="T182">
        <v>135.1</v>
      </c>
      <c r="U182">
        <v>142</v>
      </c>
      <c r="V182">
        <v>139.1</v>
      </c>
      <c r="W182">
        <v>136.6</v>
      </c>
      <c r="X182">
        <v>134.69999999999999</v>
      </c>
      <c r="Y182">
        <v>133.1</v>
      </c>
      <c r="Z182">
        <v>118.5</v>
      </c>
      <c r="AA182">
        <v>129</v>
      </c>
      <c r="AB182">
        <v>138.5</v>
      </c>
      <c r="AC182">
        <v>126.5</v>
      </c>
      <c r="AD182">
        <v>128.6</v>
      </c>
      <c r="AE182">
        <v>137.19999999999999</v>
      </c>
    </row>
    <row r="183" spans="2:31" x14ac:dyDescent="0.3">
      <c r="B183" t="s">
        <v>30</v>
      </c>
      <c r="C183">
        <v>2018</v>
      </c>
      <c r="D183" t="s">
        <v>31</v>
      </c>
      <c r="E183">
        <v>136.6</v>
      </c>
      <c r="F183">
        <v>144.4</v>
      </c>
      <c r="G183">
        <v>143.80000000000001</v>
      </c>
      <c r="H183">
        <v>142</v>
      </c>
      <c r="I183">
        <v>123.2</v>
      </c>
      <c r="J183">
        <v>147.9</v>
      </c>
      <c r="K183">
        <v>152.1</v>
      </c>
      <c r="L183">
        <v>131.80000000000001</v>
      </c>
      <c r="M183">
        <v>119.5</v>
      </c>
      <c r="N183">
        <v>136</v>
      </c>
      <c r="O183">
        <v>131.19999999999999</v>
      </c>
      <c r="P183">
        <v>151.80000000000001</v>
      </c>
      <c r="Q183">
        <v>140.4</v>
      </c>
      <c r="R183">
        <v>153.6</v>
      </c>
      <c r="S183">
        <v>148.30000000000001</v>
      </c>
      <c r="T183">
        <v>142.30000000000001</v>
      </c>
      <c r="U183">
        <v>147.5</v>
      </c>
      <c r="V183" t="s">
        <v>32</v>
      </c>
      <c r="W183">
        <v>142.30000000000001</v>
      </c>
      <c r="X183">
        <v>139.80000000000001</v>
      </c>
      <c r="Y183">
        <v>136</v>
      </c>
      <c r="Z183">
        <v>122.7</v>
      </c>
      <c r="AA183">
        <v>134.30000000000001</v>
      </c>
      <c r="AB183">
        <v>141.6</v>
      </c>
      <c r="AC183">
        <v>128.6</v>
      </c>
      <c r="AD183">
        <v>132.30000000000001</v>
      </c>
      <c r="AE183">
        <v>139.30000000000001</v>
      </c>
    </row>
    <row r="184" spans="2:31" x14ac:dyDescent="0.3">
      <c r="B184" t="s">
        <v>33</v>
      </c>
      <c r="C184">
        <v>2018</v>
      </c>
      <c r="D184" t="s">
        <v>31</v>
      </c>
      <c r="E184">
        <v>134.6</v>
      </c>
      <c r="F184">
        <v>143.69999999999999</v>
      </c>
      <c r="G184">
        <v>143.6</v>
      </c>
      <c r="H184">
        <v>139.6</v>
      </c>
      <c r="I184">
        <v>116.4</v>
      </c>
      <c r="J184">
        <v>133.80000000000001</v>
      </c>
      <c r="K184">
        <v>150.5</v>
      </c>
      <c r="L184">
        <v>118.4</v>
      </c>
      <c r="M184">
        <v>117.3</v>
      </c>
      <c r="N184">
        <v>140.5</v>
      </c>
      <c r="O184">
        <v>125.9</v>
      </c>
      <c r="P184">
        <v>146.80000000000001</v>
      </c>
      <c r="Q184">
        <v>137.19999999999999</v>
      </c>
      <c r="R184">
        <v>157.69999999999999</v>
      </c>
      <c r="S184">
        <v>136</v>
      </c>
      <c r="T184">
        <v>125.9</v>
      </c>
      <c r="U184">
        <v>134.4</v>
      </c>
      <c r="V184">
        <v>140.4</v>
      </c>
      <c r="W184">
        <v>127.3</v>
      </c>
      <c r="X184">
        <v>129.5</v>
      </c>
      <c r="Y184">
        <v>129</v>
      </c>
      <c r="Z184">
        <v>116.3</v>
      </c>
      <c r="AA184">
        <v>126.2</v>
      </c>
      <c r="AB184">
        <v>137.1</v>
      </c>
      <c r="AC184">
        <v>125.5</v>
      </c>
      <c r="AD184">
        <v>125.8</v>
      </c>
      <c r="AE184">
        <v>134.1</v>
      </c>
    </row>
    <row r="185" spans="2:31" x14ac:dyDescent="0.3">
      <c r="B185" t="s">
        <v>34</v>
      </c>
      <c r="C185">
        <v>2018</v>
      </c>
      <c r="D185" t="s">
        <v>31</v>
      </c>
      <c r="E185">
        <v>136</v>
      </c>
      <c r="F185">
        <v>144.19999999999999</v>
      </c>
      <c r="G185">
        <v>143.69999999999999</v>
      </c>
      <c r="H185">
        <v>141.1</v>
      </c>
      <c r="I185">
        <v>120.7</v>
      </c>
      <c r="J185">
        <v>141.30000000000001</v>
      </c>
      <c r="K185">
        <v>151.6</v>
      </c>
      <c r="L185">
        <v>127.3</v>
      </c>
      <c r="M185">
        <v>118.8</v>
      </c>
      <c r="N185">
        <v>137.5</v>
      </c>
      <c r="O185">
        <v>129</v>
      </c>
      <c r="P185">
        <v>149.5</v>
      </c>
      <c r="Q185">
        <v>139.19999999999999</v>
      </c>
      <c r="R185">
        <v>154.69999999999999</v>
      </c>
      <c r="S185">
        <v>143.5</v>
      </c>
      <c r="T185">
        <v>135.5</v>
      </c>
      <c r="U185">
        <v>142.30000000000001</v>
      </c>
      <c r="V185">
        <v>140.4</v>
      </c>
      <c r="W185">
        <v>136.6</v>
      </c>
      <c r="X185">
        <v>134.9</v>
      </c>
      <c r="Y185">
        <v>133.30000000000001</v>
      </c>
      <c r="Z185">
        <v>119.3</v>
      </c>
      <c r="AA185">
        <v>129.69999999999999</v>
      </c>
      <c r="AB185">
        <v>139</v>
      </c>
      <c r="AC185">
        <v>127.3</v>
      </c>
      <c r="AD185">
        <v>129.1</v>
      </c>
      <c r="AE185">
        <v>136.9</v>
      </c>
    </row>
    <row r="186" spans="2:31" x14ac:dyDescent="0.3">
      <c r="B186" t="s">
        <v>30</v>
      </c>
      <c r="C186">
        <v>2018</v>
      </c>
      <c r="D186" t="s">
        <v>35</v>
      </c>
      <c r="E186">
        <v>136.4</v>
      </c>
      <c r="F186">
        <v>143.69999999999999</v>
      </c>
      <c r="G186">
        <v>140.6</v>
      </c>
      <c r="H186">
        <v>141.5</v>
      </c>
      <c r="I186">
        <v>122.9</v>
      </c>
      <c r="J186">
        <v>149.4</v>
      </c>
      <c r="K186">
        <v>142.4</v>
      </c>
      <c r="L186">
        <v>130.19999999999999</v>
      </c>
      <c r="M186">
        <v>117.9</v>
      </c>
      <c r="N186">
        <v>135.6</v>
      </c>
      <c r="O186">
        <v>130.5</v>
      </c>
      <c r="P186">
        <v>151.69999999999999</v>
      </c>
      <c r="Q186">
        <v>138.69999999999999</v>
      </c>
      <c r="R186">
        <v>153.30000000000001</v>
      </c>
      <c r="S186">
        <v>148.69999999999999</v>
      </c>
      <c r="T186">
        <v>142.4</v>
      </c>
      <c r="U186">
        <v>147.80000000000001</v>
      </c>
      <c r="V186" t="s">
        <v>32</v>
      </c>
      <c r="W186">
        <v>142.4</v>
      </c>
      <c r="X186">
        <v>139.9</v>
      </c>
      <c r="Y186">
        <v>136.19999999999999</v>
      </c>
      <c r="Z186">
        <v>123.3</v>
      </c>
      <c r="AA186">
        <v>134.30000000000001</v>
      </c>
      <c r="AB186">
        <v>141.5</v>
      </c>
      <c r="AC186">
        <v>128.80000000000001</v>
      </c>
      <c r="AD186">
        <v>132.5</v>
      </c>
      <c r="AE186">
        <v>138.5</v>
      </c>
    </row>
    <row r="187" spans="2:31" x14ac:dyDescent="0.3">
      <c r="B187" t="s">
        <v>33</v>
      </c>
      <c r="C187">
        <v>2018</v>
      </c>
      <c r="D187" t="s">
        <v>35</v>
      </c>
      <c r="E187">
        <v>134.80000000000001</v>
      </c>
      <c r="F187">
        <v>143</v>
      </c>
      <c r="G187">
        <v>139.9</v>
      </c>
      <c r="H187">
        <v>139.9</v>
      </c>
      <c r="I187">
        <v>116.2</v>
      </c>
      <c r="J187">
        <v>135.5</v>
      </c>
      <c r="K187">
        <v>136.9</v>
      </c>
      <c r="L187">
        <v>117</v>
      </c>
      <c r="M187">
        <v>115.4</v>
      </c>
      <c r="N187">
        <v>140.69999999999999</v>
      </c>
      <c r="O187">
        <v>125.9</v>
      </c>
      <c r="P187">
        <v>147.1</v>
      </c>
      <c r="Q187">
        <v>135.6</v>
      </c>
      <c r="R187">
        <v>159.30000000000001</v>
      </c>
      <c r="S187">
        <v>136.30000000000001</v>
      </c>
      <c r="T187">
        <v>126.1</v>
      </c>
      <c r="U187">
        <v>134.69999999999999</v>
      </c>
      <c r="V187">
        <v>141.30000000000001</v>
      </c>
      <c r="W187">
        <v>127.3</v>
      </c>
      <c r="X187">
        <v>129.9</v>
      </c>
      <c r="Y187">
        <v>129.80000000000001</v>
      </c>
      <c r="Z187">
        <v>117.4</v>
      </c>
      <c r="AA187">
        <v>126.5</v>
      </c>
      <c r="AB187">
        <v>137.19999999999999</v>
      </c>
      <c r="AC187">
        <v>126.2</v>
      </c>
      <c r="AD187">
        <v>126.5</v>
      </c>
      <c r="AE187">
        <v>134</v>
      </c>
    </row>
    <row r="188" spans="2:31" x14ac:dyDescent="0.3">
      <c r="B188" t="s">
        <v>34</v>
      </c>
      <c r="C188">
        <v>2018</v>
      </c>
      <c r="D188" t="s">
        <v>35</v>
      </c>
      <c r="E188">
        <v>135.9</v>
      </c>
      <c r="F188">
        <v>143.5</v>
      </c>
      <c r="G188">
        <v>140.30000000000001</v>
      </c>
      <c r="H188">
        <v>140.9</v>
      </c>
      <c r="I188">
        <v>120.4</v>
      </c>
      <c r="J188">
        <v>142.9</v>
      </c>
      <c r="K188">
        <v>140.5</v>
      </c>
      <c r="L188">
        <v>125.8</v>
      </c>
      <c r="M188">
        <v>117.1</v>
      </c>
      <c r="N188">
        <v>137.30000000000001</v>
      </c>
      <c r="O188">
        <v>128.6</v>
      </c>
      <c r="P188">
        <v>149.6</v>
      </c>
      <c r="Q188">
        <v>137.6</v>
      </c>
      <c r="R188">
        <v>154.9</v>
      </c>
      <c r="S188">
        <v>143.80000000000001</v>
      </c>
      <c r="T188">
        <v>135.6</v>
      </c>
      <c r="U188">
        <v>142.6</v>
      </c>
      <c r="V188">
        <v>141.30000000000001</v>
      </c>
      <c r="W188">
        <v>136.69999999999999</v>
      </c>
      <c r="X188">
        <v>135.19999999999999</v>
      </c>
      <c r="Y188">
        <v>133.80000000000001</v>
      </c>
      <c r="Z188">
        <v>120.2</v>
      </c>
      <c r="AA188">
        <v>129.9</v>
      </c>
      <c r="AB188">
        <v>139</v>
      </c>
      <c r="AC188">
        <v>127.7</v>
      </c>
      <c r="AD188">
        <v>129.6</v>
      </c>
      <c r="AE188">
        <v>136.4</v>
      </c>
    </row>
    <row r="189" spans="2:31" x14ac:dyDescent="0.3">
      <c r="B189" t="s">
        <v>30</v>
      </c>
      <c r="C189">
        <v>2018</v>
      </c>
      <c r="D189" t="s">
        <v>36</v>
      </c>
      <c r="E189">
        <v>136.80000000000001</v>
      </c>
      <c r="F189">
        <v>143.80000000000001</v>
      </c>
      <c r="G189">
        <v>140</v>
      </c>
      <c r="H189">
        <v>142</v>
      </c>
      <c r="I189">
        <v>123.2</v>
      </c>
      <c r="J189">
        <v>152.9</v>
      </c>
      <c r="K189">
        <v>138</v>
      </c>
      <c r="L189">
        <v>129.30000000000001</v>
      </c>
      <c r="M189">
        <v>117.1</v>
      </c>
      <c r="N189">
        <v>136.30000000000001</v>
      </c>
      <c r="O189">
        <v>131.19999999999999</v>
      </c>
      <c r="P189">
        <v>152.80000000000001</v>
      </c>
      <c r="Q189">
        <v>138.6</v>
      </c>
      <c r="R189">
        <v>155.1</v>
      </c>
      <c r="S189">
        <v>149.19999999999999</v>
      </c>
      <c r="T189">
        <v>143</v>
      </c>
      <c r="U189">
        <v>148.30000000000001</v>
      </c>
      <c r="V189" t="s">
        <v>32</v>
      </c>
      <c r="W189">
        <v>142.6</v>
      </c>
      <c r="X189">
        <v>139.9</v>
      </c>
      <c r="Y189">
        <v>136.69999999999999</v>
      </c>
      <c r="Z189">
        <v>124.6</v>
      </c>
      <c r="AA189">
        <v>135.1</v>
      </c>
      <c r="AB189">
        <v>142.69999999999999</v>
      </c>
      <c r="AC189">
        <v>129.30000000000001</v>
      </c>
      <c r="AD189">
        <v>133.30000000000001</v>
      </c>
      <c r="AE189">
        <v>138.69999999999999</v>
      </c>
    </row>
    <row r="190" spans="2:31" x14ac:dyDescent="0.3">
      <c r="B190" t="s">
        <v>33</v>
      </c>
      <c r="C190">
        <v>2018</v>
      </c>
      <c r="D190" t="s">
        <v>36</v>
      </c>
      <c r="E190">
        <v>135</v>
      </c>
      <c r="F190">
        <v>143.1</v>
      </c>
      <c r="G190">
        <v>135.5</v>
      </c>
      <c r="H190">
        <v>139.9</v>
      </c>
      <c r="I190">
        <v>116.5</v>
      </c>
      <c r="J190">
        <v>138.5</v>
      </c>
      <c r="K190">
        <v>128</v>
      </c>
      <c r="L190">
        <v>115.5</v>
      </c>
      <c r="M190">
        <v>114.2</v>
      </c>
      <c r="N190">
        <v>140.69999999999999</v>
      </c>
      <c r="O190">
        <v>126.2</v>
      </c>
      <c r="P190">
        <v>147.6</v>
      </c>
      <c r="Q190">
        <v>134.80000000000001</v>
      </c>
      <c r="R190">
        <v>159.69999999999999</v>
      </c>
      <c r="S190">
        <v>136.69999999999999</v>
      </c>
      <c r="T190">
        <v>126.7</v>
      </c>
      <c r="U190">
        <v>135.19999999999999</v>
      </c>
      <c r="V190">
        <v>142</v>
      </c>
      <c r="W190">
        <v>126.4</v>
      </c>
      <c r="X190">
        <v>130.80000000000001</v>
      </c>
      <c r="Y190">
        <v>130.5</v>
      </c>
      <c r="Z190">
        <v>117.8</v>
      </c>
      <c r="AA190">
        <v>126.8</v>
      </c>
      <c r="AB190">
        <v>137.80000000000001</v>
      </c>
      <c r="AC190">
        <v>126.7</v>
      </c>
      <c r="AD190">
        <v>127.1</v>
      </c>
      <c r="AE190">
        <v>134</v>
      </c>
    </row>
    <row r="191" spans="2:31" x14ac:dyDescent="0.3">
      <c r="B191" t="s">
        <v>34</v>
      </c>
      <c r="C191">
        <v>2018</v>
      </c>
      <c r="D191" t="s">
        <v>36</v>
      </c>
      <c r="E191">
        <v>136.19999999999999</v>
      </c>
      <c r="F191">
        <v>143.6</v>
      </c>
      <c r="G191">
        <v>138.30000000000001</v>
      </c>
      <c r="H191">
        <v>141.19999999999999</v>
      </c>
      <c r="I191">
        <v>120.7</v>
      </c>
      <c r="J191">
        <v>146.19999999999999</v>
      </c>
      <c r="K191">
        <v>134.6</v>
      </c>
      <c r="L191">
        <v>124.6</v>
      </c>
      <c r="M191">
        <v>116.1</v>
      </c>
      <c r="N191">
        <v>137.80000000000001</v>
      </c>
      <c r="O191">
        <v>129.1</v>
      </c>
      <c r="P191">
        <v>150.4</v>
      </c>
      <c r="Q191">
        <v>137.19999999999999</v>
      </c>
      <c r="R191">
        <v>156.30000000000001</v>
      </c>
      <c r="S191">
        <v>144.30000000000001</v>
      </c>
      <c r="T191">
        <v>136.19999999999999</v>
      </c>
      <c r="U191">
        <v>143.1</v>
      </c>
      <c r="V191">
        <v>142</v>
      </c>
      <c r="W191">
        <v>136.5</v>
      </c>
      <c r="X191">
        <v>135.6</v>
      </c>
      <c r="Y191">
        <v>134.30000000000001</v>
      </c>
      <c r="Z191">
        <v>121</v>
      </c>
      <c r="AA191">
        <v>130.4</v>
      </c>
      <c r="AB191">
        <v>139.80000000000001</v>
      </c>
      <c r="AC191">
        <v>128.19999999999999</v>
      </c>
      <c r="AD191">
        <v>130.30000000000001</v>
      </c>
      <c r="AE191">
        <v>136.5</v>
      </c>
    </row>
    <row r="192" spans="2:31" x14ac:dyDescent="0.3">
      <c r="B192" t="s">
        <v>30</v>
      </c>
      <c r="C192">
        <v>2018</v>
      </c>
      <c r="D192" t="s">
        <v>37</v>
      </c>
      <c r="E192">
        <v>137.1</v>
      </c>
      <c r="F192">
        <v>144.5</v>
      </c>
      <c r="G192">
        <v>135.9</v>
      </c>
      <c r="H192">
        <v>142.4</v>
      </c>
      <c r="I192">
        <v>123.5</v>
      </c>
      <c r="J192">
        <v>156.4</v>
      </c>
      <c r="K192">
        <v>135.1</v>
      </c>
      <c r="L192">
        <v>128.4</v>
      </c>
      <c r="M192">
        <v>115.2</v>
      </c>
      <c r="N192">
        <v>137.19999999999999</v>
      </c>
      <c r="O192">
        <v>131.9</v>
      </c>
      <c r="P192">
        <v>153.80000000000001</v>
      </c>
      <c r="Q192">
        <v>138.6</v>
      </c>
      <c r="R192">
        <v>156.1</v>
      </c>
      <c r="S192">
        <v>150.1</v>
      </c>
      <c r="T192">
        <v>143.30000000000001</v>
      </c>
      <c r="U192">
        <v>149.1</v>
      </c>
      <c r="V192" t="s">
        <v>32</v>
      </c>
      <c r="W192">
        <v>143.80000000000001</v>
      </c>
      <c r="X192">
        <v>140.9</v>
      </c>
      <c r="Y192">
        <v>137.6</v>
      </c>
      <c r="Z192">
        <v>125.3</v>
      </c>
      <c r="AA192">
        <v>136</v>
      </c>
      <c r="AB192">
        <v>143.69999999999999</v>
      </c>
      <c r="AC192">
        <v>130.4</v>
      </c>
      <c r="AD192">
        <v>134.19999999999999</v>
      </c>
      <c r="AE192">
        <v>139.1</v>
      </c>
    </row>
    <row r="193" spans="2:31" x14ac:dyDescent="0.3">
      <c r="B193" t="s">
        <v>33</v>
      </c>
      <c r="C193">
        <v>2018</v>
      </c>
      <c r="D193" t="s">
        <v>37</v>
      </c>
      <c r="E193">
        <v>135</v>
      </c>
      <c r="F193">
        <v>144.30000000000001</v>
      </c>
      <c r="G193">
        <v>130.80000000000001</v>
      </c>
      <c r="H193">
        <v>140.30000000000001</v>
      </c>
      <c r="I193">
        <v>116.6</v>
      </c>
      <c r="J193">
        <v>150.1</v>
      </c>
      <c r="K193">
        <v>127.6</v>
      </c>
      <c r="L193">
        <v>114</v>
      </c>
      <c r="M193">
        <v>110.6</v>
      </c>
      <c r="N193">
        <v>140.19999999999999</v>
      </c>
      <c r="O193">
        <v>126.5</v>
      </c>
      <c r="P193">
        <v>148.30000000000001</v>
      </c>
      <c r="Q193">
        <v>135.69999999999999</v>
      </c>
      <c r="R193">
        <v>159.19999999999999</v>
      </c>
      <c r="S193">
        <v>137.80000000000001</v>
      </c>
      <c r="T193">
        <v>127.4</v>
      </c>
      <c r="U193">
        <v>136.19999999999999</v>
      </c>
      <c r="V193">
        <v>142.9</v>
      </c>
      <c r="W193">
        <v>124.6</v>
      </c>
      <c r="X193">
        <v>131.80000000000001</v>
      </c>
      <c r="Y193">
        <v>131.30000000000001</v>
      </c>
      <c r="Z193">
        <v>118.9</v>
      </c>
      <c r="AA193">
        <v>127.6</v>
      </c>
      <c r="AB193">
        <v>139.69999999999999</v>
      </c>
      <c r="AC193">
        <v>127.6</v>
      </c>
      <c r="AD193">
        <v>128.19999999999999</v>
      </c>
      <c r="AE193">
        <v>134.80000000000001</v>
      </c>
    </row>
    <row r="194" spans="2:31" x14ac:dyDescent="0.3">
      <c r="B194" t="s">
        <v>34</v>
      </c>
      <c r="C194">
        <v>2018</v>
      </c>
      <c r="D194" t="s">
        <v>37</v>
      </c>
      <c r="E194">
        <v>136.4</v>
      </c>
      <c r="F194">
        <v>144.4</v>
      </c>
      <c r="G194">
        <v>133.9</v>
      </c>
      <c r="H194">
        <v>141.6</v>
      </c>
      <c r="I194">
        <v>121</v>
      </c>
      <c r="J194">
        <v>153.5</v>
      </c>
      <c r="K194">
        <v>132.6</v>
      </c>
      <c r="L194">
        <v>123.5</v>
      </c>
      <c r="M194">
        <v>113.7</v>
      </c>
      <c r="N194">
        <v>138.19999999999999</v>
      </c>
      <c r="O194">
        <v>129.6</v>
      </c>
      <c r="P194">
        <v>151.19999999999999</v>
      </c>
      <c r="Q194">
        <v>137.5</v>
      </c>
      <c r="R194">
        <v>156.9</v>
      </c>
      <c r="S194">
        <v>145.30000000000001</v>
      </c>
      <c r="T194">
        <v>136.69999999999999</v>
      </c>
      <c r="U194">
        <v>144</v>
      </c>
      <c r="V194">
        <v>142.9</v>
      </c>
      <c r="W194">
        <v>136.5</v>
      </c>
      <c r="X194">
        <v>136.6</v>
      </c>
      <c r="Y194">
        <v>135.19999999999999</v>
      </c>
      <c r="Z194">
        <v>121.9</v>
      </c>
      <c r="AA194">
        <v>131.30000000000001</v>
      </c>
      <c r="AB194">
        <v>141.4</v>
      </c>
      <c r="AC194">
        <v>129.19999999999999</v>
      </c>
      <c r="AD194">
        <v>131.30000000000001</v>
      </c>
      <c r="AE194">
        <v>137.1</v>
      </c>
    </row>
    <row r="195" spans="2:31" x14ac:dyDescent="0.3">
      <c r="B195" t="s">
        <v>30</v>
      </c>
      <c r="C195">
        <v>2018</v>
      </c>
      <c r="D195" t="s">
        <v>38</v>
      </c>
      <c r="E195">
        <v>137.4</v>
      </c>
      <c r="F195">
        <v>145.69999999999999</v>
      </c>
      <c r="G195">
        <v>135.5</v>
      </c>
      <c r="H195">
        <v>142.9</v>
      </c>
      <c r="I195">
        <v>123.6</v>
      </c>
      <c r="J195">
        <v>157.5</v>
      </c>
      <c r="K195">
        <v>137.80000000000001</v>
      </c>
      <c r="L195">
        <v>127.2</v>
      </c>
      <c r="M195">
        <v>111.8</v>
      </c>
      <c r="N195">
        <v>137.4</v>
      </c>
      <c r="O195">
        <v>132.19999999999999</v>
      </c>
      <c r="P195">
        <v>154.30000000000001</v>
      </c>
      <c r="Q195">
        <v>139.1</v>
      </c>
      <c r="R195">
        <v>157</v>
      </c>
      <c r="S195">
        <v>150.80000000000001</v>
      </c>
      <c r="T195">
        <v>144.1</v>
      </c>
      <c r="U195">
        <v>149.80000000000001</v>
      </c>
      <c r="V195" t="s">
        <v>32</v>
      </c>
      <c r="W195">
        <v>144.30000000000001</v>
      </c>
      <c r="X195">
        <v>141.80000000000001</v>
      </c>
      <c r="Y195">
        <v>138.4</v>
      </c>
      <c r="Z195">
        <v>126.4</v>
      </c>
      <c r="AA195">
        <v>136.80000000000001</v>
      </c>
      <c r="AB195">
        <v>144.4</v>
      </c>
      <c r="AC195">
        <v>131.19999999999999</v>
      </c>
      <c r="AD195">
        <v>135.1</v>
      </c>
      <c r="AE195">
        <v>139.80000000000001</v>
      </c>
    </row>
    <row r="196" spans="2:31" x14ac:dyDescent="0.3">
      <c r="B196" t="s">
        <v>33</v>
      </c>
      <c r="C196">
        <v>2018</v>
      </c>
      <c r="D196" t="s">
        <v>38</v>
      </c>
      <c r="E196">
        <v>135</v>
      </c>
      <c r="F196">
        <v>148.19999999999999</v>
      </c>
      <c r="G196">
        <v>130.5</v>
      </c>
      <c r="H196">
        <v>140.69999999999999</v>
      </c>
      <c r="I196">
        <v>116.4</v>
      </c>
      <c r="J196">
        <v>151.30000000000001</v>
      </c>
      <c r="K196">
        <v>131.4</v>
      </c>
      <c r="L196">
        <v>112.8</v>
      </c>
      <c r="M196">
        <v>105.3</v>
      </c>
      <c r="N196">
        <v>139.6</v>
      </c>
      <c r="O196">
        <v>126.6</v>
      </c>
      <c r="P196">
        <v>148.69999999999999</v>
      </c>
      <c r="Q196">
        <v>136.4</v>
      </c>
      <c r="R196">
        <v>160.30000000000001</v>
      </c>
      <c r="S196">
        <v>138.6</v>
      </c>
      <c r="T196">
        <v>127.9</v>
      </c>
      <c r="U196">
        <v>137</v>
      </c>
      <c r="V196">
        <v>143.19999999999999</v>
      </c>
      <c r="W196">
        <v>124.7</v>
      </c>
      <c r="X196">
        <v>132.5</v>
      </c>
      <c r="Y196">
        <v>132</v>
      </c>
      <c r="Z196">
        <v>119.8</v>
      </c>
      <c r="AA196">
        <v>128</v>
      </c>
      <c r="AB196">
        <v>140.4</v>
      </c>
      <c r="AC196">
        <v>128.1</v>
      </c>
      <c r="AD196">
        <v>128.9</v>
      </c>
      <c r="AE196">
        <v>135.4</v>
      </c>
    </row>
    <row r="197" spans="2:31" x14ac:dyDescent="0.3">
      <c r="B197" t="s">
        <v>34</v>
      </c>
      <c r="C197">
        <v>2018</v>
      </c>
      <c r="D197" t="s">
        <v>38</v>
      </c>
      <c r="E197">
        <v>136.6</v>
      </c>
      <c r="F197">
        <v>146.6</v>
      </c>
      <c r="G197">
        <v>133.6</v>
      </c>
      <c r="H197">
        <v>142.1</v>
      </c>
      <c r="I197">
        <v>121</v>
      </c>
      <c r="J197">
        <v>154.6</v>
      </c>
      <c r="K197">
        <v>135.6</v>
      </c>
      <c r="L197">
        <v>122.3</v>
      </c>
      <c r="M197">
        <v>109.6</v>
      </c>
      <c r="N197">
        <v>138.1</v>
      </c>
      <c r="O197">
        <v>129.9</v>
      </c>
      <c r="P197">
        <v>151.69999999999999</v>
      </c>
      <c r="Q197">
        <v>138.1</v>
      </c>
      <c r="R197">
        <v>157.9</v>
      </c>
      <c r="S197">
        <v>146</v>
      </c>
      <c r="T197">
        <v>137.4</v>
      </c>
      <c r="U197">
        <v>144.69999999999999</v>
      </c>
      <c r="V197">
        <v>143.19999999999999</v>
      </c>
      <c r="W197">
        <v>136.9</v>
      </c>
      <c r="X197">
        <v>137.4</v>
      </c>
      <c r="Y197">
        <v>136</v>
      </c>
      <c r="Z197">
        <v>122.9</v>
      </c>
      <c r="AA197">
        <v>131.80000000000001</v>
      </c>
      <c r="AB197">
        <v>142.1</v>
      </c>
      <c r="AC197">
        <v>129.9</v>
      </c>
      <c r="AD197">
        <v>132.1</v>
      </c>
      <c r="AE197">
        <v>137.80000000000001</v>
      </c>
    </row>
    <row r="198" spans="2:31" x14ac:dyDescent="0.3">
      <c r="B198" t="s">
        <v>30</v>
      </c>
      <c r="C198">
        <v>2018</v>
      </c>
      <c r="D198" t="s">
        <v>39</v>
      </c>
      <c r="E198">
        <v>137.6</v>
      </c>
      <c r="F198">
        <v>148.1</v>
      </c>
      <c r="G198">
        <v>136.69999999999999</v>
      </c>
      <c r="H198">
        <v>143.19999999999999</v>
      </c>
      <c r="I198">
        <v>124</v>
      </c>
      <c r="J198">
        <v>154.1</v>
      </c>
      <c r="K198">
        <v>143.5</v>
      </c>
      <c r="L198">
        <v>126</v>
      </c>
      <c r="M198">
        <v>112.4</v>
      </c>
      <c r="N198">
        <v>137.6</v>
      </c>
      <c r="O198">
        <v>132.80000000000001</v>
      </c>
      <c r="P198">
        <v>154.30000000000001</v>
      </c>
      <c r="Q198">
        <v>140</v>
      </c>
      <c r="R198">
        <v>157.30000000000001</v>
      </c>
      <c r="S198">
        <v>151.30000000000001</v>
      </c>
      <c r="T198">
        <v>144.69999999999999</v>
      </c>
      <c r="U198">
        <v>150.30000000000001</v>
      </c>
      <c r="V198" t="s">
        <v>32</v>
      </c>
      <c r="W198">
        <v>145.1</v>
      </c>
      <c r="X198">
        <v>142.19999999999999</v>
      </c>
      <c r="Y198">
        <v>138.4</v>
      </c>
      <c r="Z198">
        <v>127.4</v>
      </c>
      <c r="AA198">
        <v>137.80000000000001</v>
      </c>
      <c r="AB198">
        <v>145.1</v>
      </c>
      <c r="AC198">
        <v>131.4</v>
      </c>
      <c r="AD198">
        <v>135.6</v>
      </c>
      <c r="AE198">
        <v>140.5</v>
      </c>
    </row>
    <row r="199" spans="2:31" x14ac:dyDescent="0.3">
      <c r="B199" t="s">
        <v>33</v>
      </c>
      <c r="C199">
        <v>2018</v>
      </c>
      <c r="D199" t="s">
        <v>39</v>
      </c>
      <c r="E199">
        <v>135.30000000000001</v>
      </c>
      <c r="F199">
        <v>149.69999999999999</v>
      </c>
      <c r="G199">
        <v>133.9</v>
      </c>
      <c r="H199">
        <v>140.80000000000001</v>
      </c>
      <c r="I199">
        <v>116.6</v>
      </c>
      <c r="J199">
        <v>152.19999999999999</v>
      </c>
      <c r="K199">
        <v>144</v>
      </c>
      <c r="L199">
        <v>112.3</v>
      </c>
      <c r="M199">
        <v>108.4</v>
      </c>
      <c r="N199">
        <v>140</v>
      </c>
      <c r="O199">
        <v>126.7</v>
      </c>
      <c r="P199">
        <v>149</v>
      </c>
      <c r="Q199">
        <v>138.4</v>
      </c>
      <c r="R199">
        <v>161</v>
      </c>
      <c r="S199">
        <v>138.9</v>
      </c>
      <c r="T199">
        <v>128.69999999999999</v>
      </c>
      <c r="U199">
        <v>137.4</v>
      </c>
      <c r="V199">
        <v>142.5</v>
      </c>
      <c r="W199">
        <v>126.5</v>
      </c>
      <c r="X199">
        <v>133.1</v>
      </c>
      <c r="Y199">
        <v>132.6</v>
      </c>
      <c r="Z199">
        <v>120.4</v>
      </c>
      <c r="AA199">
        <v>128.5</v>
      </c>
      <c r="AB199">
        <v>141.19999999999999</v>
      </c>
      <c r="AC199">
        <v>128.19999999999999</v>
      </c>
      <c r="AD199">
        <v>129.5</v>
      </c>
      <c r="AE199">
        <v>136.19999999999999</v>
      </c>
    </row>
    <row r="200" spans="2:31" x14ac:dyDescent="0.3">
      <c r="B200" t="s">
        <v>34</v>
      </c>
      <c r="C200">
        <v>2018</v>
      </c>
      <c r="D200" t="s">
        <v>39</v>
      </c>
      <c r="E200">
        <v>136.9</v>
      </c>
      <c r="F200">
        <v>148.69999999999999</v>
      </c>
      <c r="G200">
        <v>135.6</v>
      </c>
      <c r="H200">
        <v>142.30000000000001</v>
      </c>
      <c r="I200">
        <v>121.3</v>
      </c>
      <c r="J200">
        <v>153.19999999999999</v>
      </c>
      <c r="K200">
        <v>143.69999999999999</v>
      </c>
      <c r="L200">
        <v>121.4</v>
      </c>
      <c r="M200">
        <v>111.1</v>
      </c>
      <c r="N200">
        <v>138.4</v>
      </c>
      <c r="O200">
        <v>130.30000000000001</v>
      </c>
      <c r="P200">
        <v>151.80000000000001</v>
      </c>
      <c r="Q200">
        <v>139.4</v>
      </c>
      <c r="R200">
        <v>158.30000000000001</v>
      </c>
      <c r="S200">
        <v>146.4</v>
      </c>
      <c r="T200">
        <v>138.1</v>
      </c>
      <c r="U200">
        <v>145.19999999999999</v>
      </c>
      <c r="V200">
        <v>142.5</v>
      </c>
      <c r="W200">
        <v>138.1</v>
      </c>
      <c r="X200">
        <v>137.9</v>
      </c>
      <c r="Y200">
        <v>136.19999999999999</v>
      </c>
      <c r="Z200">
        <v>123.7</v>
      </c>
      <c r="AA200">
        <v>132.6</v>
      </c>
      <c r="AB200">
        <v>142.80000000000001</v>
      </c>
      <c r="AC200">
        <v>130.1</v>
      </c>
      <c r="AD200">
        <v>132.6</v>
      </c>
      <c r="AE200">
        <v>138.5</v>
      </c>
    </row>
    <row r="201" spans="2:31" x14ac:dyDescent="0.3">
      <c r="B201" t="s">
        <v>30</v>
      </c>
      <c r="C201">
        <v>2018</v>
      </c>
      <c r="D201" t="s">
        <v>40</v>
      </c>
      <c r="E201">
        <v>138.4</v>
      </c>
      <c r="F201">
        <v>149.30000000000001</v>
      </c>
      <c r="G201">
        <v>139.30000000000001</v>
      </c>
      <c r="H201">
        <v>143.4</v>
      </c>
      <c r="I201">
        <v>124.1</v>
      </c>
      <c r="J201">
        <v>153.30000000000001</v>
      </c>
      <c r="K201">
        <v>154.19999999999999</v>
      </c>
      <c r="L201">
        <v>126.4</v>
      </c>
      <c r="M201">
        <v>114.3</v>
      </c>
      <c r="N201">
        <v>138.19999999999999</v>
      </c>
      <c r="O201">
        <v>132.80000000000001</v>
      </c>
      <c r="P201">
        <v>154.80000000000001</v>
      </c>
      <c r="Q201">
        <v>142</v>
      </c>
      <c r="R201">
        <v>156.1</v>
      </c>
      <c r="S201">
        <v>151.5</v>
      </c>
      <c r="T201">
        <v>145.1</v>
      </c>
      <c r="U201">
        <v>150.6</v>
      </c>
      <c r="V201" t="s">
        <v>32</v>
      </c>
      <c r="W201">
        <v>146.80000000000001</v>
      </c>
      <c r="X201">
        <v>143.1</v>
      </c>
      <c r="Y201">
        <v>139</v>
      </c>
      <c r="Z201">
        <v>127.5</v>
      </c>
      <c r="AA201">
        <v>138.4</v>
      </c>
      <c r="AB201">
        <v>145.80000000000001</v>
      </c>
      <c r="AC201">
        <v>131.4</v>
      </c>
      <c r="AD201">
        <v>136</v>
      </c>
      <c r="AE201">
        <v>141.80000000000001</v>
      </c>
    </row>
    <row r="202" spans="2:31" x14ac:dyDescent="0.3">
      <c r="B202" t="s">
        <v>33</v>
      </c>
      <c r="C202">
        <v>2018</v>
      </c>
      <c r="D202" t="s">
        <v>40</v>
      </c>
      <c r="E202">
        <v>135.6</v>
      </c>
      <c r="F202">
        <v>148.6</v>
      </c>
      <c r="G202">
        <v>139.1</v>
      </c>
      <c r="H202">
        <v>141</v>
      </c>
      <c r="I202">
        <v>116.7</v>
      </c>
      <c r="J202">
        <v>149.69999999999999</v>
      </c>
      <c r="K202">
        <v>159.19999999999999</v>
      </c>
      <c r="L202">
        <v>112.6</v>
      </c>
      <c r="M202">
        <v>111.8</v>
      </c>
      <c r="N202">
        <v>140.30000000000001</v>
      </c>
      <c r="O202">
        <v>126.8</v>
      </c>
      <c r="P202">
        <v>149.4</v>
      </c>
      <c r="Q202">
        <v>140.30000000000001</v>
      </c>
      <c r="R202">
        <v>161.4</v>
      </c>
      <c r="S202">
        <v>139.6</v>
      </c>
      <c r="T202">
        <v>128.9</v>
      </c>
      <c r="U202">
        <v>137.9</v>
      </c>
      <c r="V202">
        <v>143.6</v>
      </c>
      <c r="W202">
        <v>128.1</v>
      </c>
      <c r="X202">
        <v>133.6</v>
      </c>
      <c r="Y202">
        <v>133.6</v>
      </c>
      <c r="Z202">
        <v>120.1</v>
      </c>
      <c r="AA202">
        <v>129</v>
      </c>
      <c r="AB202">
        <v>144</v>
      </c>
      <c r="AC202">
        <v>128.19999999999999</v>
      </c>
      <c r="AD202">
        <v>130.19999999999999</v>
      </c>
      <c r="AE202">
        <v>137.5</v>
      </c>
    </row>
    <row r="203" spans="2:31" x14ac:dyDescent="0.3">
      <c r="B203" t="s">
        <v>34</v>
      </c>
      <c r="C203">
        <v>2018</v>
      </c>
      <c r="D203" t="s">
        <v>40</v>
      </c>
      <c r="E203">
        <v>137.5</v>
      </c>
      <c r="F203">
        <v>149.1</v>
      </c>
      <c r="G203">
        <v>139.19999999999999</v>
      </c>
      <c r="H203">
        <v>142.5</v>
      </c>
      <c r="I203">
        <v>121.4</v>
      </c>
      <c r="J203">
        <v>151.6</v>
      </c>
      <c r="K203">
        <v>155.9</v>
      </c>
      <c r="L203">
        <v>121.7</v>
      </c>
      <c r="M203">
        <v>113.5</v>
      </c>
      <c r="N203">
        <v>138.9</v>
      </c>
      <c r="O203">
        <v>130.30000000000001</v>
      </c>
      <c r="P203">
        <v>152.30000000000001</v>
      </c>
      <c r="Q203">
        <v>141.4</v>
      </c>
      <c r="R203">
        <v>157.5</v>
      </c>
      <c r="S203">
        <v>146.80000000000001</v>
      </c>
      <c r="T203">
        <v>138.4</v>
      </c>
      <c r="U203">
        <v>145.6</v>
      </c>
      <c r="V203">
        <v>143.6</v>
      </c>
      <c r="W203">
        <v>139.69999999999999</v>
      </c>
      <c r="X203">
        <v>138.6</v>
      </c>
      <c r="Y203">
        <v>137</v>
      </c>
      <c r="Z203">
        <v>123.6</v>
      </c>
      <c r="AA203">
        <v>133.1</v>
      </c>
      <c r="AB203">
        <v>144.69999999999999</v>
      </c>
      <c r="AC203">
        <v>130.1</v>
      </c>
      <c r="AD203">
        <v>133.19999999999999</v>
      </c>
      <c r="AE203">
        <v>139.80000000000001</v>
      </c>
    </row>
    <row r="204" spans="2:31" x14ac:dyDescent="0.3">
      <c r="B204" t="s">
        <v>30</v>
      </c>
      <c r="C204">
        <v>2018</v>
      </c>
      <c r="D204" t="s">
        <v>41</v>
      </c>
      <c r="E204">
        <v>139.19999999999999</v>
      </c>
      <c r="F204">
        <v>148.80000000000001</v>
      </c>
      <c r="G204">
        <v>139.1</v>
      </c>
      <c r="H204">
        <v>143.5</v>
      </c>
      <c r="I204">
        <v>125</v>
      </c>
      <c r="J204">
        <v>154.4</v>
      </c>
      <c r="K204">
        <v>156.30000000000001</v>
      </c>
      <c r="L204">
        <v>126.8</v>
      </c>
      <c r="M204">
        <v>115.4</v>
      </c>
      <c r="N204">
        <v>138.6</v>
      </c>
      <c r="O204">
        <v>133.80000000000001</v>
      </c>
      <c r="P204">
        <v>155.19999999999999</v>
      </c>
      <c r="Q204">
        <v>142.69999999999999</v>
      </c>
      <c r="R204">
        <v>156.4</v>
      </c>
      <c r="S204">
        <v>152.1</v>
      </c>
      <c r="T204">
        <v>145.80000000000001</v>
      </c>
      <c r="U204">
        <v>151.30000000000001</v>
      </c>
      <c r="V204" t="s">
        <v>32</v>
      </c>
      <c r="W204">
        <v>147.69999999999999</v>
      </c>
      <c r="X204">
        <v>143.80000000000001</v>
      </c>
      <c r="Y204">
        <v>139.4</v>
      </c>
      <c r="Z204">
        <v>128.30000000000001</v>
      </c>
      <c r="AA204">
        <v>138.6</v>
      </c>
      <c r="AB204">
        <v>146.9</v>
      </c>
      <c r="AC204">
        <v>131.30000000000001</v>
      </c>
      <c r="AD204">
        <v>136.6</v>
      </c>
      <c r="AE204">
        <v>142.5</v>
      </c>
    </row>
    <row r="205" spans="2:31" x14ac:dyDescent="0.3">
      <c r="B205" t="s">
        <v>33</v>
      </c>
      <c r="C205">
        <v>2018</v>
      </c>
      <c r="D205" t="s">
        <v>41</v>
      </c>
      <c r="E205">
        <v>136.5</v>
      </c>
      <c r="F205">
        <v>146.4</v>
      </c>
      <c r="G205">
        <v>136.6</v>
      </c>
      <c r="H205">
        <v>141.19999999999999</v>
      </c>
      <c r="I205">
        <v>117.4</v>
      </c>
      <c r="J205">
        <v>146.30000000000001</v>
      </c>
      <c r="K205">
        <v>157.30000000000001</v>
      </c>
      <c r="L205">
        <v>113.6</v>
      </c>
      <c r="M205">
        <v>113.3</v>
      </c>
      <c r="N205">
        <v>141.1</v>
      </c>
      <c r="O205">
        <v>127.4</v>
      </c>
      <c r="P205">
        <v>150.4</v>
      </c>
      <c r="Q205">
        <v>140.1</v>
      </c>
      <c r="R205">
        <v>162.1</v>
      </c>
      <c r="S205">
        <v>140</v>
      </c>
      <c r="T205">
        <v>129</v>
      </c>
      <c r="U205">
        <v>138.30000000000001</v>
      </c>
      <c r="V205">
        <v>144.6</v>
      </c>
      <c r="W205">
        <v>129.80000000000001</v>
      </c>
      <c r="X205">
        <v>134.4</v>
      </c>
      <c r="Y205">
        <v>134.9</v>
      </c>
      <c r="Z205">
        <v>120.7</v>
      </c>
      <c r="AA205">
        <v>129.80000000000001</v>
      </c>
      <c r="AB205">
        <v>145.30000000000001</v>
      </c>
      <c r="AC205">
        <v>128.30000000000001</v>
      </c>
      <c r="AD205">
        <v>131</v>
      </c>
      <c r="AE205">
        <v>138</v>
      </c>
    </row>
    <row r="206" spans="2:31" x14ac:dyDescent="0.3">
      <c r="B206" t="s">
        <v>34</v>
      </c>
      <c r="C206">
        <v>2018</v>
      </c>
      <c r="D206" t="s">
        <v>41</v>
      </c>
      <c r="E206">
        <v>138.30000000000001</v>
      </c>
      <c r="F206">
        <v>148</v>
      </c>
      <c r="G206">
        <v>138.1</v>
      </c>
      <c r="H206">
        <v>142.6</v>
      </c>
      <c r="I206">
        <v>122.2</v>
      </c>
      <c r="J206">
        <v>150.6</v>
      </c>
      <c r="K206">
        <v>156.6</v>
      </c>
      <c r="L206">
        <v>122.4</v>
      </c>
      <c r="M206">
        <v>114.7</v>
      </c>
      <c r="N206">
        <v>139.4</v>
      </c>
      <c r="O206">
        <v>131.1</v>
      </c>
      <c r="P206">
        <v>153</v>
      </c>
      <c r="Q206">
        <v>141.69999999999999</v>
      </c>
      <c r="R206">
        <v>157.9</v>
      </c>
      <c r="S206">
        <v>147.30000000000001</v>
      </c>
      <c r="T206">
        <v>138.80000000000001</v>
      </c>
      <c r="U206">
        <v>146.1</v>
      </c>
      <c r="V206">
        <v>144.6</v>
      </c>
      <c r="W206">
        <v>140.9</v>
      </c>
      <c r="X206">
        <v>139.4</v>
      </c>
      <c r="Y206">
        <v>137.69999999999999</v>
      </c>
      <c r="Z206">
        <v>124.3</v>
      </c>
      <c r="AA206">
        <v>133.6</v>
      </c>
      <c r="AB206">
        <v>146</v>
      </c>
      <c r="AC206">
        <v>130.1</v>
      </c>
      <c r="AD206">
        <v>133.9</v>
      </c>
      <c r="AE206">
        <v>140.4</v>
      </c>
    </row>
    <row r="207" spans="2:31" x14ac:dyDescent="0.3">
      <c r="B207" t="s">
        <v>30</v>
      </c>
      <c r="C207">
        <v>2018</v>
      </c>
      <c r="D207" t="s">
        <v>42</v>
      </c>
      <c r="E207">
        <v>139.4</v>
      </c>
      <c r="F207">
        <v>147.19999999999999</v>
      </c>
      <c r="G207">
        <v>136.6</v>
      </c>
      <c r="H207">
        <v>143.69999999999999</v>
      </c>
      <c r="I207">
        <v>124.6</v>
      </c>
      <c r="J207">
        <v>150.1</v>
      </c>
      <c r="K207">
        <v>149.4</v>
      </c>
      <c r="L207">
        <v>125.4</v>
      </c>
      <c r="M207">
        <v>114.4</v>
      </c>
      <c r="N207">
        <v>138.69999999999999</v>
      </c>
      <c r="O207">
        <v>133.1</v>
      </c>
      <c r="P207">
        <v>155.9</v>
      </c>
      <c r="Q207">
        <v>141.30000000000001</v>
      </c>
      <c r="R207">
        <v>157.69999999999999</v>
      </c>
      <c r="S207">
        <v>152.1</v>
      </c>
      <c r="T207">
        <v>146.1</v>
      </c>
      <c r="U207">
        <v>151.30000000000001</v>
      </c>
      <c r="V207" t="s">
        <v>32</v>
      </c>
      <c r="W207">
        <v>149</v>
      </c>
      <c r="X207">
        <v>144</v>
      </c>
      <c r="Y207">
        <v>140</v>
      </c>
      <c r="Z207">
        <v>129.9</v>
      </c>
      <c r="AA207">
        <v>140</v>
      </c>
      <c r="AB207">
        <v>147.6</v>
      </c>
      <c r="AC207">
        <v>132</v>
      </c>
      <c r="AD207">
        <v>137.4</v>
      </c>
      <c r="AE207">
        <v>142.1</v>
      </c>
    </row>
    <row r="208" spans="2:31" x14ac:dyDescent="0.3">
      <c r="B208" t="s">
        <v>33</v>
      </c>
      <c r="C208">
        <v>2018</v>
      </c>
      <c r="D208" t="s">
        <v>42</v>
      </c>
      <c r="E208">
        <v>137</v>
      </c>
      <c r="F208">
        <v>143.1</v>
      </c>
      <c r="G208">
        <v>132.80000000000001</v>
      </c>
      <c r="H208">
        <v>141.5</v>
      </c>
      <c r="I208">
        <v>117.8</v>
      </c>
      <c r="J208">
        <v>140</v>
      </c>
      <c r="K208">
        <v>151.30000000000001</v>
      </c>
      <c r="L208">
        <v>113.5</v>
      </c>
      <c r="M208">
        <v>112.3</v>
      </c>
      <c r="N208">
        <v>141.19999999999999</v>
      </c>
      <c r="O208">
        <v>127.7</v>
      </c>
      <c r="P208">
        <v>151.30000000000001</v>
      </c>
      <c r="Q208">
        <v>138.9</v>
      </c>
      <c r="R208">
        <v>163.30000000000001</v>
      </c>
      <c r="S208">
        <v>140.80000000000001</v>
      </c>
      <c r="T208">
        <v>129.30000000000001</v>
      </c>
      <c r="U208">
        <v>139.1</v>
      </c>
      <c r="V208">
        <v>145.30000000000001</v>
      </c>
      <c r="W208">
        <v>131.19999999999999</v>
      </c>
      <c r="X208">
        <v>134.9</v>
      </c>
      <c r="Y208">
        <v>135.69999999999999</v>
      </c>
      <c r="Z208">
        <v>122.5</v>
      </c>
      <c r="AA208">
        <v>130.19999999999999</v>
      </c>
      <c r="AB208">
        <v>145.19999999999999</v>
      </c>
      <c r="AC208">
        <v>129.30000000000001</v>
      </c>
      <c r="AD208">
        <v>131.9</v>
      </c>
      <c r="AE208">
        <v>138.1</v>
      </c>
    </row>
    <row r="209" spans="2:31" x14ac:dyDescent="0.3">
      <c r="B209" t="s">
        <v>34</v>
      </c>
      <c r="C209">
        <v>2018</v>
      </c>
      <c r="D209" t="s">
        <v>42</v>
      </c>
      <c r="E209">
        <v>138.6</v>
      </c>
      <c r="F209">
        <v>145.80000000000001</v>
      </c>
      <c r="G209">
        <v>135.1</v>
      </c>
      <c r="H209">
        <v>142.9</v>
      </c>
      <c r="I209">
        <v>122.1</v>
      </c>
      <c r="J209">
        <v>145.4</v>
      </c>
      <c r="K209">
        <v>150</v>
      </c>
      <c r="L209">
        <v>121.4</v>
      </c>
      <c r="M209">
        <v>113.7</v>
      </c>
      <c r="N209">
        <v>139.5</v>
      </c>
      <c r="O209">
        <v>130.80000000000001</v>
      </c>
      <c r="P209">
        <v>153.80000000000001</v>
      </c>
      <c r="Q209">
        <v>140.4</v>
      </c>
      <c r="R209">
        <v>159.19999999999999</v>
      </c>
      <c r="S209">
        <v>147.69999999999999</v>
      </c>
      <c r="T209">
        <v>139.1</v>
      </c>
      <c r="U209">
        <v>146.5</v>
      </c>
      <c r="V209">
        <v>145.30000000000001</v>
      </c>
      <c r="W209">
        <v>142.30000000000001</v>
      </c>
      <c r="X209">
        <v>139.69999999999999</v>
      </c>
      <c r="Y209">
        <v>138.4</v>
      </c>
      <c r="Z209">
        <v>126</v>
      </c>
      <c r="AA209">
        <v>134.5</v>
      </c>
      <c r="AB209">
        <v>146.19999999999999</v>
      </c>
      <c r="AC209">
        <v>130.9</v>
      </c>
      <c r="AD209">
        <v>134.69999999999999</v>
      </c>
      <c r="AE209">
        <v>140.19999999999999</v>
      </c>
    </row>
    <row r="210" spans="2:31" x14ac:dyDescent="0.3">
      <c r="B210" t="s">
        <v>30</v>
      </c>
      <c r="C210">
        <v>2018</v>
      </c>
      <c r="D210" t="s">
        <v>43</v>
      </c>
      <c r="E210">
        <v>139.30000000000001</v>
      </c>
      <c r="F210">
        <v>147.6</v>
      </c>
      <c r="G210">
        <v>134.6</v>
      </c>
      <c r="H210">
        <v>141.9</v>
      </c>
      <c r="I210">
        <v>123.5</v>
      </c>
      <c r="J210">
        <v>144.5</v>
      </c>
      <c r="K210">
        <v>147.6</v>
      </c>
      <c r="L210">
        <v>121.4</v>
      </c>
      <c r="M210">
        <v>112.3</v>
      </c>
      <c r="N210">
        <v>139.5</v>
      </c>
      <c r="O210">
        <v>134.6</v>
      </c>
      <c r="P210">
        <v>155.19999999999999</v>
      </c>
      <c r="Q210">
        <v>140.19999999999999</v>
      </c>
      <c r="R210">
        <v>159.6</v>
      </c>
      <c r="S210">
        <v>150.69999999999999</v>
      </c>
      <c r="T210">
        <v>144.5</v>
      </c>
      <c r="U210">
        <v>149.80000000000001</v>
      </c>
      <c r="V210" t="s">
        <v>32</v>
      </c>
      <c r="W210">
        <v>149.69999999999999</v>
      </c>
      <c r="X210">
        <v>147.5</v>
      </c>
      <c r="Y210">
        <v>144.80000000000001</v>
      </c>
      <c r="Z210">
        <v>130.80000000000001</v>
      </c>
      <c r="AA210">
        <v>140.1</v>
      </c>
      <c r="AB210">
        <v>148</v>
      </c>
      <c r="AC210">
        <v>134.4</v>
      </c>
      <c r="AD210">
        <v>139.80000000000001</v>
      </c>
      <c r="AE210">
        <v>142.19999999999999</v>
      </c>
    </row>
    <row r="211" spans="2:31" x14ac:dyDescent="0.3">
      <c r="B211" t="s">
        <v>33</v>
      </c>
      <c r="C211">
        <v>2018</v>
      </c>
      <c r="D211" t="s">
        <v>43</v>
      </c>
      <c r="E211">
        <v>137.6</v>
      </c>
      <c r="F211">
        <v>144.9</v>
      </c>
      <c r="G211">
        <v>133.5</v>
      </c>
      <c r="H211">
        <v>141.5</v>
      </c>
      <c r="I211">
        <v>118</v>
      </c>
      <c r="J211">
        <v>139.5</v>
      </c>
      <c r="K211">
        <v>153</v>
      </c>
      <c r="L211">
        <v>113.2</v>
      </c>
      <c r="M211">
        <v>112.8</v>
      </c>
      <c r="N211">
        <v>141.1</v>
      </c>
      <c r="O211">
        <v>127.6</v>
      </c>
      <c r="P211">
        <v>152</v>
      </c>
      <c r="Q211">
        <v>139.4</v>
      </c>
      <c r="R211">
        <v>164</v>
      </c>
      <c r="S211">
        <v>141.5</v>
      </c>
      <c r="T211">
        <v>129.80000000000001</v>
      </c>
      <c r="U211">
        <v>139.69999999999999</v>
      </c>
      <c r="V211">
        <v>146.30000000000001</v>
      </c>
      <c r="W211">
        <v>133.4</v>
      </c>
      <c r="X211">
        <v>135.1</v>
      </c>
      <c r="Y211">
        <v>136.19999999999999</v>
      </c>
      <c r="Z211">
        <v>123.3</v>
      </c>
      <c r="AA211">
        <v>130.69999999999999</v>
      </c>
      <c r="AB211">
        <v>145.5</v>
      </c>
      <c r="AC211">
        <v>130.4</v>
      </c>
      <c r="AD211">
        <v>132.5</v>
      </c>
      <c r="AE211">
        <v>138.9</v>
      </c>
    </row>
    <row r="212" spans="2:31" x14ac:dyDescent="0.3">
      <c r="B212" t="s">
        <v>34</v>
      </c>
      <c r="C212">
        <v>2018</v>
      </c>
      <c r="D212" t="s">
        <v>43</v>
      </c>
      <c r="E212">
        <v>137.4</v>
      </c>
      <c r="F212">
        <v>149.5</v>
      </c>
      <c r="G212">
        <v>137.30000000000001</v>
      </c>
      <c r="H212">
        <v>141.9</v>
      </c>
      <c r="I212">
        <v>121.1</v>
      </c>
      <c r="J212">
        <v>142.5</v>
      </c>
      <c r="K212">
        <v>146.69999999999999</v>
      </c>
      <c r="L212">
        <v>119.1</v>
      </c>
      <c r="M212">
        <v>111.9</v>
      </c>
      <c r="N212">
        <v>141</v>
      </c>
      <c r="O212">
        <v>133.6</v>
      </c>
      <c r="P212">
        <v>154.5</v>
      </c>
      <c r="Q212">
        <v>139.69999999999999</v>
      </c>
      <c r="R212">
        <v>162.6</v>
      </c>
      <c r="S212">
        <v>148</v>
      </c>
      <c r="T212">
        <v>139.19999999999999</v>
      </c>
      <c r="U212">
        <v>146.80000000000001</v>
      </c>
      <c r="V212">
        <v>146.9</v>
      </c>
      <c r="W212">
        <v>145.30000000000001</v>
      </c>
      <c r="X212">
        <v>142.19999999999999</v>
      </c>
      <c r="Y212">
        <v>142.1</v>
      </c>
      <c r="Z212">
        <v>125.5</v>
      </c>
      <c r="AA212">
        <v>136.5</v>
      </c>
      <c r="AB212">
        <v>147.80000000000001</v>
      </c>
      <c r="AC212">
        <v>132</v>
      </c>
      <c r="AD212">
        <v>136.30000000000001</v>
      </c>
      <c r="AE212">
        <v>140.80000000000001</v>
      </c>
    </row>
    <row r="213" spans="2:31" x14ac:dyDescent="0.3">
      <c r="B213" t="s">
        <v>30</v>
      </c>
      <c r="C213">
        <v>2018</v>
      </c>
      <c r="D213" t="s">
        <v>45</v>
      </c>
      <c r="E213">
        <v>137.1</v>
      </c>
      <c r="F213">
        <v>150.80000000000001</v>
      </c>
      <c r="G213">
        <v>136.69999999999999</v>
      </c>
      <c r="H213">
        <v>141.9</v>
      </c>
      <c r="I213">
        <v>122.8</v>
      </c>
      <c r="J213">
        <v>143.9</v>
      </c>
      <c r="K213">
        <v>147.5</v>
      </c>
      <c r="L213">
        <v>121</v>
      </c>
      <c r="M213">
        <v>111.6</v>
      </c>
      <c r="N213">
        <v>140.6</v>
      </c>
      <c r="O213">
        <v>137.5</v>
      </c>
      <c r="P213">
        <v>156.1</v>
      </c>
      <c r="Q213">
        <v>140</v>
      </c>
      <c r="R213">
        <v>161.9</v>
      </c>
      <c r="S213">
        <v>151.69999999999999</v>
      </c>
      <c r="T213">
        <v>145.5</v>
      </c>
      <c r="U213">
        <v>150.80000000000001</v>
      </c>
      <c r="V213" t="s">
        <v>32</v>
      </c>
      <c r="W213">
        <v>150.30000000000001</v>
      </c>
      <c r="X213">
        <v>148</v>
      </c>
      <c r="Y213">
        <v>145.4</v>
      </c>
      <c r="Z213">
        <v>130.30000000000001</v>
      </c>
      <c r="AA213">
        <v>143.1</v>
      </c>
      <c r="AB213">
        <v>150.19999999999999</v>
      </c>
      <c r="AC213">
        <v>133.1</v>
      </c>
      <c r="AD213">
        <v>140.1</v>
      </c>
      <c r="AE213">
        <v>142.4</v>
      </c>
    </row>
    <row r="214" spans="2:31" x14ac:dyDescent="0.3">
      <c r="B214" t="s">
        <v>33</v>
      </c>
      <c r="C214">
        <v>2018</v>
      </c>
      <c r="D214" t="s">
        <v>45</v>
      </c>
      <c r="E214">
        <v>138.1</v>
      </c>
      <c r="F214">
        <v>146.30000000000001</v>
      </c>
      <c r="G214">
        <v>137.80000000000001</v>
      </c>
      <c r="H214">
        <v>141.6</v>
      </c>
      <c r="I214">
        <v>118.1</v>
      </c>
      <c r="J214">
        <v>141.5</v>
      </c>
      <c r="K214">
        <v>145.19999999999999</v>
      </c>
      <c r="L214">
        <v>115.3</v>
      </c>
      <c r="M214">
        <v>112.5</v>
      </c>
      <c r="N214">
        <v>141.4</v>
      </c>
      <c r="O214">
        <v>128</v>
      </c>
      <c r="P214">
        <v>152.6</v>
      </c>
      <c r="Q214">
        <v>139.1</v>
      </c>
      <c r="R214">
        <v>164.4</v>
      </c>
      <c r="S214">
        <v>142.4</v>
      </c>
      <c r="T214">
        <v>130.19999999999999</v>
      </c>
      <c r="U214">
        <v>140.5</v>
      </c>
      <c r="V214">
        <v>146.9</v>
      </c>
      <c r="W214">
        <v>136.69999999999999</v>
      </c>
      <c r="X214">
        <v>135.80000000000001</v>
      </c>
      <c r="Y214">
        <v>136.80000000000001</v>
      </c>
      <c r="Z214">
        <v>121.2</v>
      </c>
      <c r="AA214">
        <v>131.30000000000001</v>
      </c>
      <c r="AB214">
        <v>146.1</v>
      </c>
      <c r="AC214">
        <v>130.5</v>
      </c>
      <c r="AD214">
        <v>132.19999999999999</v>
      </c>
      <c r="AE214">
        <v>139</v>
      </c>
    </row>
    <row r="215" spans="2:31" x14ac:dyDescent="0.3">
      <c r="B215" t="s">
        <v>34</v>
      </c>
      <c r="C215">
        <v>2018</v>
      </c>
      <c r="D215" t="s">
        <v>45</v>
      </c>
      <c r="E215">
        <v>137.4</v>
      </c>
      <c r="F215">
        <v>149.19999999999999</v>
      </c>
      <c r="G215">
        <v>137.1</v>
      </c>
      <c r="H215">
        <v>141.80000000000001</v>
      </c>
      <c r="I215">
        <v>121.1</v>
      </c>
      <c r="J215">
        <v>142.80000000000001</v>
      </c>
      <c r="K215">
        <v>146.69999999999999</v>
      </c>
      <c r="L215">
        <v>119.1</v>
      </c>
      <c r="M215">
        <v>111.9</v>
      </c>
      <c r="N215">
        <v>140.9</v>
      </c>
      <c r="O215">
        <v>133.5</v>
      </c>
      <c r="P215">
        <v>154.5</v>
      </c>
      <c r="Q215">
        <v>139.69999999999999</v>
      </c>
      <c r="R215">
        <v>162.6</v>
      </c>
      <c r="S215">
        <v>148</v>
      </c>
      <c r="T215">
        <v>139.1</v>
      </c>
      <c r="U215">
        <v>146.69999999999999</v>
      </c>
      <c r="V215">
        <v>146.9</v>
      </c>
      <c r="W215">
        <v>145.1</v>
      </c>
      <c r="X215">
        <v>142.19999999999999</v>
      </c>
      <c r="Y215">
        <v>142.1</v>
      </c>
      <c r="Z215">
        <v>125.5</v>
      </c>
      <c r="AA215">
        <v>136.5</v>
      </c>
      <c r="AB215">
        <v>147.80000000000001</v>
      </c>
      <c r="AC215">
        <v>132</v>
      </c>
      <c r="AD215">
        <v>136.30000000000001</v>
      </c>
      <c r="AE215">
        <v>140.80000000000001</v>
      </c>
    </row>
    <row r="216" spans="2:31" x14ac:dyDescent="0.3">
      <c r="B216" t="s">
        <v>30</v>
      </c>
      <c r="C216">
        <v>2018</v>
      </c>
      <c r="D216" t="s">
        <v>46</v>
      </c>
      <c r="E216">
        <v>137.1</v>
      </c>
      <c r="F216">
        <v>151.9</v>
      </c>
      <c r="G216">
        <v>137.4</v>
      </c>
      <c r="H216">
        <v>142.4</v>
      </c>
      <c r="I216">
        <v>124.2</v>
      </c>
      <c r="J216">
        <v>140.19999999999999</v>
      </c>
      <c r="K216">
        <v>136.6</v>
      </c>
      <c r="L216">
        <v>120.9</v>
      </c>
      <c r="M216">
        <v>109.9</v>
      </c>
      <c r="N216">
        <v>140.19999999999999</v>
      </c>
      <c r="O216">
        <v>137.80000000000001</v>
      </c>
      <c r="P216">
        <v>156</v>
      </c>
      <c r="Q216">
        <v>138.5</v>
      </c>
      <c r="R216">
        <v>162.4</v>
      </c>
      <c r="S216">
        <v>151.6</v>
      </c>
      <c r="T216">
        <v>145.9</v>
      </c>
      <c r="U216">
        <v>150.80000000000001</v>
      </c>
      <c r="V216" t="s">
        <v>32</v>
      </c>
      <c r="W216">
        <v>149</v>
      </c>
      <c r="X216">
        <v>149.5</v>
      </c>
      <c r="Y216">
        <v>149.6</v>
      </c>
      <c r="Z216">
        <v>128.9</v>
      </c>
      <c r="AA216">
        <v>143.30000000000001</v>
      </c>
      <c r="AB216">
        <v>155.1</v>
      </c>
      <c r="AC216">
        <v>133.19999999999999</v>
      </c>
      <c r="AD216">
        <v>141.6</v>
      </c>
      <c r="AE216">
        <v>141.9</v>
      </c>
    </row>
    <row r="217" spans="2:31" x14ac:dyDescent="0.3">
      <c r="B217" t="s">
        <v>33</v>
      </c>
      <c r="C217">
        <v>2018</v>
      </c>
      <c r="D217" t="s">
        <v>46</v>
      </c>
      <c r="E217">
        <v>138.5</v>
      </c>
      <c r="F217">
        <v>147.80000000000001</v>
      </c>
      <c r="G217">
        <v>141.1</v>
      </c>
      <c r="H217">
        <v>141.6</v>
      </c>
      <c r="I217">
        <v>118.1</v>
      </c>
      <c r="J217">
        <v>138.5</v>
      </c>
      <c r="K217">
        <v>132.4</v>
      </c>
      <c r="L217">
        <v>117.5</v>
      </c>
      <c r="M217">
        <v>111</v>
      </c>
      <c r="N217">
        <v>141.5</v>
      </c>
      <c r="O217">
        <v>128.1</v>
      </c>
      <c r="P217">
        <v>152.9</v>
      </c>
      <c r="Q217">
        <v>137.6</v>
      </c>
      <c r="R217">
        <v>164.6</v>
      </c>
      <c r="S217">
        <v>142.69999999999999</v>
      </c>
      <c r="T217">
        <v>130.30000000000001</v>
      </c>
      <c r="U217">
        <v>140.80000000000001</v>
      </c>
      <c r="V217">
        <v>146.5</v>
      </c>
      <c r="W217">
        <v>132.4</v>
      </c>
      <c r="X217">
        <v>136.19999999999999</v>
      </c>
      <c r="Y217">
        <v>137.30000000000001</v>
      </c>
      <c r="Z217">
        <v>118.8</v>
      </c>
      <c r="AA217">
        <v>131.69999999999999</v>
      </c>
      <c r="AB217">
        <v>146.5</v>
      </c>
      <c r="AC217">
        <v>130.80000000000001</v>
      </c>
      <c r="AD217">
        <v>131.69999999999999</v>
      </c>
      <c r="AE217">
        <v>138</v>
      </c>
    </row>
    <row r="218" spans="2:31" x14ac:dyDescent="0.3">
      <c r="B218" t="s">
        <v>34</v>
      </c>
      <c r="C218">
        <v>2018</v>
      </c>
      <c r="D218" t="s">
        <v>46</v>
      </c>
      <c r="E218">
        <v>137.5</v>
      </c>
      <c r="F218">
        <v>150.5</v>
      </c>
      <c r="G218">
        <v>138.80000000000001</v>
      </c>
      <c r="H218">
        <v>142.1</v>
      </c>
      <c r="I218">
        <v>122</v>
      </c>
      <c r="J218">
        <v>139.4</v>
      </c>
      <c r="K218">
        <v>135.19999999999999</v>
      </c>
      <c r="L218">
        <v>119.8</v>
      </c>
      <c r="M218">
        <v>110.3</v>
      </c>
      <c r="N218">
        <v>140.6</v>
      </c>
      <c r="O218">
        <v>133.80000000000001</v>
      </c>
      <c r="P218">
        <v>154.6</v>
      </c>
      <c r="Q218">
        <v>138.19999999999999</v>
      </c>
      <c r="R218">
        <v>163</v>
      </c>
      <c r="S218">
        <v>148.1</v>
      </c>
      <c r="T218">
        <v>139.4</v>
      </c>
      <c r="U218">
        <v>146.80000000000001</v>
      </c>
      <c r="V218">
        <v>146.5</v>
      </c>
      <c r="W218">
        <v>142.69999999999999</v>
      </c>
      <c r="X218">
        <v>143.19999999999999</v>
      </c>
      <c r="Y218">
        <v>144.9</v>
      </c>
      <c r="Z218">
        <v>123.6</v>
      </c>
      <c r="AA218">
        <v>136.80000000000001</v>
      </c>
      <c r="AB218">
        <v>150.1</v>
      </c>
      <c r="AC218">
        <v>132.19999999999999</v>
      </c>
      <c r="AD218">
        <v>136.80000000000001</v>
      </c>
      <c r="AE218">
        <v>140.1</v>
      </c>
    </row>
    <row r="219" spans="2:31" x14ac:dyDescent="0.3">
      <c r="B219" t="s">
        <v>30</v>
      </c>
      <c r="C219">
        <v>2019</v>
      </c>
      <c r="D219" t="s">
        <v>31</v>
      </c>
      <c r="E219">
        <v>136.6</v>
      </c>
      <c r="F219">
        <v>152.5</v>
      </c>
      <c r="G219">
        <v>138.19999999999999</v>
      </c>
      <c r="H219">
        <v>142.4</v>
      </c>
      <c r="I219">
        <v>123.9</v>
      </c>
      <c r="J219">
        <v>135.5</v>
      </c>
      <c r="K219">
        <v>131.69999999999999</v>
      </c>
      <c r="L219">
        <v>121.3</v>
      </c>
      <c r="M219">
        <v>108.4</v>
      </c>
      <c r="N219">
        <v>138.9</v>
      </c>
      <c r="O219">
        <v>137</v>
      </c>
      <c r="P219">
        <v>155.80000000000001</v>
      </c>
      <c r="Q219">
        <v>137.4</v>
      </c>
      <c r="R219">
        <v>162.69999999999999</v>
      </c>
      <c r="S219">
        <v>150.6</v>
      </c>
      <c r="T219">
        <v>145.1</v>
      </c>
      <c r="U219">
        <v>149.9</v>
      </c>
      <c r="V219" t="s">
        <v>32</v>
      </c>
      <c r="W219">
        <v>146.19999999999999</v>
      </c>
      <c r="X219">
        <v>150.1</v>
      </c>
      <c r="Y219">
        <v>149.6</v>
      </c>
      <c r="Z219">
        <v>128.6</v>
      </c>
      <c r="AA219">
        <v>142.9</v>
      </c>
      <c r="AB219">
        <v>155.19999999999999</v>
      </c>
      <c r="AC219">
        <v>133.5</v>
      </c>
      <c r="AD219">
        <v>141.69999999999999</v>
      </c>
      <c r="AE219">
        <v>141</v>
      </c>
    </row>
    <row r="220" spans="2:31" x14ac:dyDescent="0.3">
      <c r="B220" t="s">
        <v>33</v>
      </c>
      <c r="C220">
        <v>2019</v>
      </c>
      <c r="D220" t="s">
        <v>31</v>
      </c>
      <c r="E220">
        <v>138.30000000000001</v>
      </c>
      <c r="F220">
        <v>149.4</v>
      </c>
      <c r="G220">
        <v>143.5</v>
      </c>
      <c r="H220">
        <v>141.69999999999999</v>
      </c>
      <c r="I220">
        <v>118.1</v>
      </c>
      <c r="J220">
        <v>135.19999999999999</v>
      </c>
      <c r="K220">
        <v>130.5</v>
      </c>
      <c r="L220">
        <v>118.2</v>
      </c>
      <c r="M220">
        <v>110.4</v>
      </c>
      <c r="N220">
        <v>140.4</v>
      </c>
      <c r="O220">
        <v>128.1</v>
      </c>
      <c r="P220">
        <v>153.19999999999999</v>
      </c>
      <c r="Q220">
        <v>137.30000000000001</v>
      </c>
      <c r="R220">
        <v>164.7</v>
      </c>
      <c r="S220">
        <v>143</v>
      </c>
      <c r="T220">
        <v>130.4</v>
      </c>
      <c r="U220">
        <v>141.1</v>
      </c>
      <c r="V220">
        <v>147.69999999999999</v>
      </c>
      <c r="W220">
        <v>128.6</v>
      </c>
      <c r="X220">
        <v>136.30000000000001</v>
      </c>
      <c r="Y220">
        <v>137.80000000000001</v>
      </c>
      <c r="Z220">
        <v>118.6</v>
      </c>
      <c r="AA220">
        <v>131.9</v>
      </c>
      <c r="AB220">
        <v>146.6</v>
      </c>
      <c r="AC220">
        <v>131.69999999999999</v>
      </c>
      <c r="AD220">
        <v>131.80000000000001</v>
      </c>
      <c r="AE220">
        <v>138</v>
      </c>
    </row>
    <row r="221" spans="2:31" x14ac:dyDescent="0.3">
      <c r="B221" t="s">
        <v>34</v>
      </c>
      <c r="C221">
        <v>2019</v>
      </c>
      <c r="D221" t="s">
        <v>31</v>
      </c>
      <c r="E221">
        <v>137.1</v>
      </c>
      <c r="F221">
        <v>151.4</v>
      </c>
      <c r="G221">
        <v>140.19999999999999</v>
      </c>
      <c r="H221">
        <v>142.1</v>
      </c>
      <c r="I221">
        <v>121.8</v>
      </c>
      <c r="J221">
        <v>135.4</v>
      </c>
      <c r="K221">
        <v>131.30000000000001</v>
      </c>
      <c r="L221">
        <v>120.3</v>
      </c>
      <c r="M221">
        <v>109.1</v>
      </c>
      <c r="N221">
        <v>139.4</v>
      </c>
      <c r="O221">
        <v>133.30000000000001</v>
      </c>
      <c r="P221">
        <v>154.6</v>
      </c>
      <c r="Q221">
        <v>137.4</v>
      </c>
      <c r="R221">
        <v>163.19999999999999</v>
      </c>
      <c r="S221">
        <v>147.6</v>
      </c>
      <c r="T221">
        <v>139</v>
      </c>
      <c r="U221">
        <v>146.4</v>
      </c>
      <c r="V221">
        <v>147.69999999999999</v>
      </c>
      <c r="W221">
        <v>139.5</v>
      </c>
      <c r="X221">
        <v>143.6</v>
      </c>
      <c r="Y221">
        <v>145.1</v>
      </c>
      <c r="Z221">
        <v>123.3</v>
      </c>
      <c r="AA221">
        <v>136.69999999999999</v>
      </c>
      <c r="AB221">
        <v>150.19999999999999</v>
      </c>
      <c r="AC221">
        <v>132.80000000000001</v>
      </c>
      <c r="AD221">
        <v>136.9</v>
      </c>
      <c r="AE221">
        <v>139.6</v>
      </c>
    </row>
    <row r="222" spans="2:31" x14ac:dyDescent="0.3">
      <c r="B222" t="s">
        <v>30</v>
      </c>
      <c r="C222">
        <v>2019</v>
      </c>
      <c r="D222" t="s">
        <v>35</v>
      </c>
      <c r="E222">
        <v>136.80000000000001</v>
      </c>
      <c r="F222">
        <v>153</v>
      </c>
      <c r="G222">
        <v>139.1</v>
      </c>
      <c r="H222">
        <v>142.5</v>
      </c>
      <c r="I222">
        <v>124.1</v>
      </c>
      <c r="J222">
        <v>135.80000000000001</v>
      </c>
      <c r="K222">
        <v>128.69999999999999</v>
      </c>
      <c r="L222">
        <v>121.5</v>
      </c>
      <c r="M222">
        <v>108.3</v>
      </c>
      <c r="N222">
        <v>139.19999999999999</v>
      </c>
      <c r="O222">
        <v>137.4</v>
      </c>
      <c r="P222">
        <v>156.19999999999999</v>
      </c>
      <c r="Q222">
        <v>137.19999999999999</v>
      </c>
      <c r="R222">
        <v>162.80000000000001</v>
      </c>
      <c r="S222">
        <v>150.5</v>
      </c>
      <c r="T222">
        <v>146.1</v>
      </c>
      <c r="U222">
        <v>149.9</v>
      </c>
      <c r="V222" t="s">
        <v>32</v>
      </c>
      <c r="W222">
        <v>145.30000000000001</v>
      </c>
      <c r="X222">
        <v>150.1</v>
      </c>
      <c r="Y222">
        <v>149.9</v>
      </c>
      <c r="Z222">
        <v>129.19999999999999</v>
      </c>
      <c r="AA222">
        <v>143.4</v>
      </c>
      <c r="AB222">
        <v>155.5</v>
      </c>
      <c r="AC222">
        <v>134.9</v>
      </c>
      <c r="AD222">
        <v>142.19999999999999</v>
      </c>
      <c r="AE222">
        <v>141</v>
      </c>
    </row>
    <row r="223" spans="2:31" x14ac:dyDescent="0.3">
      <c r="B223" t="s">
        <v>33</v>
      </c>
      <c r="C223">
        <v>2019</v>
      </c>
      <c r="D223" t="s">
        <v>35</v>
      </c>
      <c r="E223">
        <v>139.4</v>
      </c>
      <c r="F223">
        <v>150.1</v>
      </c>
      <c r="G223">
        <v>145.30000000000001</v>
      </c>
      <c r="H223">
        <v>141.69999999999999</v>
      </c>
      <c r="I223">
        <v>118.4</v>
      </c>
      <c r="J223">
        <v>137</v>
      </c>
      <c r="K223">
        <v>131.6</v>
      </c>
      <c r="L223">
        <v>119.9</v>
      </c>
      <c r="M223">
        <v>110.4</v>
      </c>
      <c r="N223">
        <v>140.80000000000001</v>
      </c>
      <c r="O223">
        <v>128.30000000000001</v>
      </c>
      <c r="P223">
        <v>153.5</v>
      </c>
      <c r="Q223">
        <v>138</v>
      </c>
      <c r="R223">
        <v>164.9</v>
      </c>
      <c r="S223">
        <v>143.30000000000001</v>
      </c>
      <c r="T223">
        <v>130.80000000000001</v>
      </c>
      <c r="U223">
        <v>141.4</v>
      </c>
      <c r="V223">
        <v>148.5</v>
      </c>
      <c r="W223">
        <v>127.1</v>
      </c>
      <c r="X223">
        <v>136.6</v>
      </c>
      <c r="Y223">
        <v>138.5</v>
      </c>
      <c r="Z223">
        <v>119.2</v>
      </c>
      <c r="AA223">
        <v>132.19999999999999</v>
      </c>
      <c r="AB223">
        <v>146.6</v>
      </c>
      <c r="AC223">
        <v>133</v>
      </c>
      <c r="AD223">
        <v>132.4</v>
      </c>
      <c r="AE223">
        <v>138.6</v>
      </c>
    </row>
    <row r="224" spans="2:31" x14ac:dyDescent="0.3">
      <c r="B224" t="s">
        <v>34</v>
      </c>
      <c r="C224">
        <v>2019</v>
      </c>
      <c r="D224" t="s">
        <v>35</v>
      </c>
      <c r="E224">
        <v>137.6</v>
      </c>
      <c r="F224">
        <v>152</v>
      </c>
      <c r="G224">
        <v>141.5</v>
      </c>
      <c r="H224">
        <v>142.19999999999999</v>
      </c>
      <c r="I224">
        <v>122</v>
      </c>
      <c r="J224">
        <v>136.4</v>
      </c>
      <c r="K224">
        <v>129.69999999999999</v>
      </c>
      <c r="L224">
        <v>121</v>
      </c>
      <c r="M224">
        <v>109</v>
      </c>
      <c r="N224">
        <v>139.69999999999999</v>
      </c>
      <c r="O224">
        <v>133.6</v>
      </c>
      <c r="P224">
        <v>154.9</v>
      </c>
      <c r="Q224">
        <v>137.5</v>
      </c>
      <c r="R224">
        <v>163.4</v>
      </c>
      <c r="S224">
        <v>147.69999999999999</v>
      </c>
      <c r="T224">
        <v>139.69999999999999</v>
      </c>
      <c r="U224">
        <v>146.5</v>
      </c>
      <c r="V224">
        <v>148.5</v>
      </c>
      <c r="W224">
        <v>138.4</v>
      </c>
      <c r="X224">
        <v>143.69999999999999</v>
      </c>
      <c r="Y224">
        <v>145.6</v>
      </c>
      <c r="Z224">
        <v>123.9</v>
      </c>
      <c r="AA224">
        <v>137.1</v>
      </c>
      <c r="AB224">
        <v>150.30000000000001</v>
      </c>
      <c r="AC224">
        <v>134.1</v>
      </c>
      <c r="AD224">
        <v>137.4</v>
      </c>
      <c r="AE224">
        <v>139.9</v>
      </c>
    </row>
    <row r="225" spans="2:31" x14ac:dyDescent="0.3">
      <c r="B225" t="s">
        <v>30</v>
      </c>
      <c r="C225">
        <v>2019</v>
      </c>
      <c r="D225" t="s">
        <v>36</v>
      </c>
      <c r="E225">
        <v>136.9</v>
      </c>
      <c r="F225">
        <v>154.1</v>
      </c>
      <c r="G225">
        <v>138.69999999999999</v>
      </c>
      <c r="H225">
        <v>142.5</v>
      </c>
      <c r="I225">
        <v>124.1</v>
      </c>
      <c r="J225">
        <v>136.1</v>
      </c>
      <c r="K225">
        <v>128.19999999999999</v>
      </c>
      <c r="L225">
        <v>122.3</v>
      </c>
      <c r="M225">
        <v>108.3</v>
      </c>
      <c r="N225">
        <v>138.9</v>
      </c>
      <c r="O225">
        <v>137.4</v>
      </c>
      <c r="P225">
        <v>156.4</v>
      </c>
      <c r="Q225">
        <v>137.30000000000001</v>
      </c>
      <c r="R225">
        <v>162.9</v>
      </c>
      <c r="S225">
        <v>150.80000000000001</v>
      </c>
      <c r="T225">
        <v>146.1</v>
      </c>
      <c r="U225">
        <v>150.1</v>
      </c>
      <c r="V225" t="s">
        <v>32</v>
      </c>
      <c r="W225">
        <v>146.4</v>
      </c>
      <c r="X225">
        <v>150</v>
      </c>
      <c r="Y225">
        <v>150.4</v>
      </c>
      <c r="Z225">
        <v>129.9</v>
      </c>
      <c r="AA225">
        <v>143.80000000000001</v>
      </c>
      <c r="AB225">
        <v>155.5</v>
      </c>
      <c r="AC225">
        <v>134</v>
      </c>
      <c r="AD225">
        <v>142.4</v>
      </c>
      <c r="AE225">
        <v>141.19999999999999</v>
      </c>
    </row>
    <row r="226" spans="2:31" x14ac:dyDescent="0.3">
      <c r="B226" t="s">
        <v>33</v>
      </c>
      <c r="C226">
        <v>2019</v>
      </c>
      <c r="D226" t="s">
        <v>36</v>
      </c>
      <c r="E226">
        <v>139.69999999999999</v>
      </c>
      <c r="F226">
        <v>151.1</v>
      </c>
      <c r="G226">
        <v>142.9</v>
      </c>
      <c r="H226">
        <v>141.9</v>
      </c>
      <c r="I226">
        <v>118.4</v>
      </c>
      <c r="J226">
        <v>139.4</v>
      </c>
      <c r="K226">
        <v>141.19999999999999</v>
      </c>
      <c r="L226">
        <v>120.7</v>
      </c>
      <c r="M226">
        <v>110.4</v>
      </c>
      <c r="N226">
        <v>140.69999999999999</v>
      </c>
      <c r="O226">
        <v>128.5</v>
      </c>
      <c r="P226">
        <v>153.9</v>
      </c>
      <c r="Q226">
        <v>139.6</v>
      </c>
      <c r="R226">
        <v>165.3</v>
      </c>
      <c r="S226">
        <v>143.5</v>
      </c>
      <c r="T226">
        <v>131.19999999999999</v>
      </c>
      <c r="U226">
        <v>141.6</v>
      </c>
      <c r="V226">
        <v>149</v>
      </c>
      <c r="W226">
        <v>128.80000000000001</v>
      </c>
      <c r="X226">
        <v>136.80000000000001</v>
      </c>
      <c r="Y226">
        <v>139.19999999999999</v>
      </c>
      <c r="Z226">
        <v>119.9</v>
      </c>
      <c r="AA226">
        <v>133</v>
      </c>
      <c r="AB226">
        <v>146.69999999999999</v>
      </c>
      <c r="AC226">
        <v>132.5</v>
      </c>
      <c r="AD226">
        <v>132.80000000000001</v>
      </c>
      <c r="AE226">
        <v>139.5</v>
      </c>
    </row>
    <row r="227" spans="2:31" x14ac:dyDescent="0.3">
      <c r="B227" t="s">
        <v>34</v>
      </c>
      <c r="C227">
        <v>2019</v>
      </c>
      <c r="D227" t="s">
        <v>36</v>
      </c>
      <c r="E227">
        <v>137.80000000000001</v>
      </c>
      <c r="F227">
        <v>153</v>
      </c>
      <c r="G227">
        <v>140.30000000000001</v>
      </c>
      <c r="H227">
        <v>142.30000000000001</v>
      </c>
      <c r="I227">
        <v>122</v>
      </c>
      <c r="J227">
        <v>137.6</v>
      </c>
      <c r="K227">
        <v>132.6</v>
      </c>
      <c r="L227">
        <v>121.8</v>
      </c>
      <c r="M227">
        <v>109</v>
      </c>
      <c r="N227">
        <v>139.5</v>
      </c>
      <c r="O227">
        <v>133.69999999999999</v>
      </c>
      <c r="P227">
        <v>155.19999999999999</v>
      </c>
      <c r="Q227">
        <v>138.1</v>
      </c>
      <c r="R227">
        <v>163.5</v>
      </c>
      <c r="S227">
        <v>147.9</v>
      </c>
      <c r="T227">
        <v>139.9</v>
      </c>
      <c r="U227">
        <v>146.69999999999999</v>
      </c>
      <c r="V227">
        <v>149</v>
      </c>
      <c r="W227">
        <v>139.69999999999999</v>
      </c>
      <c r="X227">
        <v>143.80000000000001</v>
      </c>
      <c r="Y227">
        <v>146.19999999999999</v>
      </c>
      <c r="Z227">
        <v>124.6</v>
      </c>
      <c r="AA227">
        <v>137.69999999999999</v>
      </c>
      <c r="AB227">
        <v>150.30000000000001</v>
      </c>
      <c r="AC227">
        <v>133.4</v>
      </c>
      <c r="AD227">
        <v>137.69999999999999</v>
      </c>
      <c r="AE227">
        <v>140.4</v>
      </c>
    </row>
    <row r="228" spans="2:31" x14ac:dyDescent="0.3">
      <c r="B228" t="s">
        <v>30</v>
      </c>
      <c r="C228">
        <v>2019</v>
      </c>
      <c r="D228" t="s">
        <v>38</v>
      </c>
      <c r="E228">
        <v>137.4</v>
      </c>
      <c r="F228">
        <v>159.5</v>
      </c>
      <c r="G228">
        <v>134.5</v>
      </c>
      <c r="H228">
        <v>142.6</v>
      </c>
      <c r="I228">
        <v>124</v>
      </c>
      <c r="J228">
        <v>143.69999999999999</v>
      </c>
      <c r="K228">
        <v>133.4</v>
      </c>
      <c r="L228">
        <v>125.1</v>
      </c>
      <c r="M228">
        <v>109.3</v>
      </c>
      <c r="N228">
        <v>139.30000000000001</v>
      </c>
      <c r="O228">
        <v>137.69999999999999</v>
      </c>
      <c r="P228">
        <v>156.4</v>
      </c>
      <c r="Q228">
        <v>139.19999999999999</v>
      </c>
      <c r="R228">
        <v>163.30000000000001</v>
      </c>
      <c r="S228">
        <v>151.30000000000001</v>
      </c>
      <c r="T228">
        <v>146.6</v>
      </c>
      <c r="U228">
        <v>150.69999999999999</v>
      </c>
      <c r="V228" t="s">
        <v>32</v>
      </c>
      <c r="W228">
        <v>146.9</v>
      </c>
      <c r="X228">
        <v>149.5</v>
      </c>
      <c r="Y228">
        <v>151.30000000000001</v>
      </c>
      <c r="Z228">
        <v>130.19999999999999</v>
      </c>
      <c r="AA228">
        <v>145.9</v>
      </c>
      <c r="AB228">
        <v>156.69999999999999</v>
      </c>
      <c r="AC228">
        <v>133.9</v>
      </c>
      <c r="AD228">
        <v>142.9</v>
      </c>
      <c r="AE228">
        <v>142.4</v>
      </c>
    </row>
    <row r="229" spans="2:31" x14ac:dyDescent="0.3">
      <c r="B229" t="s">
        <v>33</v>
      </c>
      <c r="C229">
        <v>2019</v>
      </c>
      <c r="D229" t="s">
        <v>38</v>
      </c>
      <c r="E229">
        <v>140.4</v>
      </c>
      <c r="F229">
        <v>156.69999999999999</v>
      </c>
      <c r="G229">
        <v>138.30000000000001</v>
      </c>
      <c r="H229">
        <v>142.4</v>
      </c>
      <c r="I229">
        <v>118.6</v>
      </c>
      <c r="J229">
        <v>149.69999999999999</v>
      </c>
      <c r="K229">
        <v>161.6</v>
      </c>
      <c r="L229">
        <v>124.4</v>
      </c>
      <c r="M229">
        <v>111.2</v>
      </c>
      <c r="N229">
        <v>141</v>
      </c>
      <c r="O229">
        <v>128.9</v>
      </c>
      <c r="P229">
        <v>154.5</v>
      </c>
      <c r="Q229">
        <v>143.80000000000001</v>
      </c>
      <c r="R229">
        <v>166.2</v>
      </c>
      <c r="S229">
        <v>144</v>
      </c>
      <c r="T229">
        <v>131.69999999999999</v>
      </c>
      <c r="U229">
        <v>142.19999999999999</v>
      </c>
      <c r="V229">
        <v>150.1</v>
      </c>
      <c r="W229">
        <v>129.4</v>
      </c>
      <c r="X229">
        <v>137.19999999999999</v>
      </c>
      <c r="Y229">
        <v>139.80000000000001</v>
      </c>
      <c r="Z229">
        <v>120.1</v>
      </c>
      <c r="AA229">
        <v>134</v>
      </c>
      <c r="AB229">
        <v>148</v>
      </c>
      <c r="AC229">
        <v>132.6</v>
      </c>
      <c r="AD229">
        <v>133.30000000000001</v>
      </c>
      <c r="AE229">
        <v>141.5</v>
      </c>
    </row>
    <row r="230" spans="2:31" x14ac:dyDescent="0.3">
      <c r="B230" t="s">
        <v>34</v>
      </c>
      <c r="C230">
        <v>2019</v>
      </c>
      <c r="D230" t="s">
        <v>38</v>
      </c>
      <c r="E230">
        <v>138.30000000000001</v>
      </c>
      <c r="F230">
        <v>158.5</v>
      </c>
      <c r="G230">
        <v>136</v>
      </c>
      <c r="H230">
        <v>142.5</v>
      </c>
      <c r="I230">
        <v>122</v>
      </c>
      <c r="J230">
        <v>146.5</v>
      </c>
      <c r="K230">
        <v>143</v>
      </c>
      <c r="L230">
        <v>124.9</v>
      </c>
      <c r="M230">
        <v>109.9</v>
      </c>
      <c r="N230">
        <v>139.9</v>
      </c>
      <c r="O230">
        <v>134</v>
      </c>
      <c r="P230">
        <v>155.5</v>
      </c>
      <c r="Q230">
        <v>140.9</v>
      </c>
      <c r="R230">
        <v>164.1</v>
      </c>
      <c r="S230">
        <v>148.4</v>
      </c>
      <c r="T230">
        <v>140.4</v>
      </c>
      <c r="U230">
        <v>147.30000000000001</v>
      </c>
      <c r="V230">
        <v>150.1</v>
      </c>
      <c r="W230">
        <v>140.30000000000001</v>
      </c>
      <c r="X230">
        <v>143.69999999999999</v>
      </c>
      <c r="Y230">
        <v>146.9</v>
      </c>
      <c r="Z230">
        <v>124.9</v>
      </c>
      <c r="AA230">
        <v>139.19999999999999</v>
      </c>
      <c r="AB230">
        <v>151.6</v>
      </c>
      <c r="AC230">
        <v>133.4</v>
      </c>
      <c r="AD230">
        <v>138.19999999999999</v>
      </c>
      <c r="AE230">
        <v>142</v>
      </c>
    </row>
    <row r="231" spans="2:31" x14ac:dyDescent="0.3">
      <c r="B231" t="s">
        <v>30</v>
      </c>
      <c r="C231">
        <v>2019</v>
      </c>
      <c r="D231" t="s">
        <v>39</v>
      </c>
      <c r="E231">
        <v>137.80000000000001</v>
      </c>
      <c r="F231">
        <v>163.5</v>
      </c>
      <c r="G231">
        <v>136.19999999999999</v>
      </c>
      <c r="H231">
        <v>143.19999999999999</v>
      </c>
      <c r="I231">
        <v>124.3</v>
      </c>
      <c r="J231">
        <v>143.30000000000001</v>
      </c>
      <c r="K231">
        <v>140.6</v>
      </c>
      <c r="L231">
        <v>128.69999999999999</v>
      </c>
      <c r="M231">
        <v>110.6</v>
      </c>
      <c r="N231">
        <v>140.4</v>
      </c>
      <c r="O231">
        <v>138</v>
      </c>
      <c r="P231">
        <v>156.6</v>
      </c>
      <c r="Q231">
        <v>141</v>
      </c>
      <c r="R231">
        <v>164.2</v>
      </c>
      <c r="S231">
        <v>151.4</v>
      </c>
      <c r="T231">
        <v>146.5</v>
      </c>
      <c r="U231">
        <v>150.69999999999999</v>
      </c>
      <c r="V231" t="s">
        <v>32</v>
      </c>
      <c r="W231">
        <v>147.80000000000001</v>
      </c>
      <c r="X231">
        <v>149.6</v>
      </c>
      <c r="Y231">
        <v>151.69999999999999</v>
      </c>
      <c r="Z231">
        <v>130.19999999999999</v>
      </c>
      <c r="AA231">
        <v>146.4</v>
      </c>
      <c r="AB231">
        <v>157.69999999999999</v>
      </c>
      <c r="AC231">
        <v>134.80000000000001</v>
      </c>
      <c r="AD231">
        <v>143.30000000000001</v>
      </c>
      <c r="AE231">
        <v>143.6</v>
      </c>
    </row>
    <row r="232" spans="2:31" x14ac:dyDescent="0.3">
      <c r="B232" t="s">
        <v>33</v>
      </c>
      <c r="C232">
        <v>2019</v>
      </c>
      <c r="D232" t="s">
        <v>39</v>
      </c>
      <c r="E232">
        <v>140.69999999999999</v>
      </c>
      <c r="F232">
        <v>159.6</v>
      </c>
      <c r="G232">
        <v>140.4</v>
      </c>
      <c r="H232">
        <v>143.4</v>
      </c>
      <c r="I232">
        <v>118.6</v>
      </c>
      <c r="J232">
        <v>150.9</v>
      </c>
      <c r="K232">
        <v>169.8</v>
      </c>
      <c r="L232">
        <v>127.4</v>
      </c>
      <c r="M232">
        <v>111.8</v>
      </c>
      <c r="N232">
        <v>141</v>
      </c>
      <c r="O232">
        <v>129</v>
      </c>
      <c r="P232">
        <v>155.1</v>
      </c>
      <c r="Q232">
        <v>145.6</v>
      </c>
      <c r="R232">
        <v>166.7</v>
      </c>
      <c r="S232">
        <v>144.30000000000001</v>
      </c>
      <c r="T232">
        <v>131.69999999999999</v>
      </c>
      <c r="U232">
        <v>142.4</v>
      </c>
      <c r="V232">
        <v>149.4</v>
      </c>
      <c r="W232">
        <v>130.5</v>
      </c>
      <c r="X232">
        <v>137.4</v>
      </c>
      <c r="Y232">
        <v>140.30000000000001</v>
      </c>
      <c r="Z232">
        <v>119.6</v>
      </c>
      <c r="AA232">
        <v>134.30000000000001</v>
      </c>
      <c r="AB232">
        <v>148.9</v>
      </c>
      <c r="AC232">
        <v>133.69999999999999</v>
      </c>
      <c r="AD232">
        <v>133.6</v>
      </c>
      <c r="AE232">
        <v>142.1</v>
      </c>
    </row>
    <row r="233" spans="2:31" x14ac:dyDescent="0.3">
      <c r="B233" t="s">
        <v>34</v>
      </c>
      <c r="C233">
        <v>2019</v>
      </c>
      <c r="D233" t="s">
        <v>39</v>
      </c>
      <c r="E233">
        <v>138.69999999999999</v>
      </c>
      <c r="F233">
        <v>162.1</v>
      </c>
      <c r="G233">
        <v>137.80000000000001</v>
      </c>
      <c r="H233">
        <v>143.30000000000001</v>
      </c>
      <c r="I233">
        <v>122.2</v>
      </c>
      <c r="J233">
        <v>146.80000000000001</v>
      </c>
      <c r="K233">
        <v>150.5</v>
      </c>
      <c r="L233">
        <v>128.30000000000001</v>
      </c>
      <c r="M233">
        <v>111</v>
      </c>
      <c r="N233">
        <v>140.6</v>
      </c>
      <c r="O233">
        <v>134.19999999999999</v>
      </c>
      <c r="P233">
        <v>155.9</v>
      </c>
      <c r="Q233">
        <v>142.69999999999999</v>
      </c>
      <c r="R233">
        <v>164.9</v>
      </c>
      <c r="S233">
        <v>148.6</v>
      </c>
      <c r="T233">
        <v>140.4</v>
      </c>
      <c r="U233">
        <v>147.4</v>
      </c>
      <c r="V233">
        <v>149.4</v>
      </c>
      <c r="W233">
        <v>141.19999999999999</v>
      </c>
      <c r="X233">
        <v>143.80000000000001</v>
      </c>
      <c r="Y233">
        <v>147.4</v>
      </c>
      <c r="Z233">
        <v>124.6</v>
      </c>
      <c r="AA233">
        <v>139.6</v>
      </c>
      <c r="AB233">
        <v>152.5</v>
      </c>
      <c r="AC233">
        <v>134.30000000000001</v>
      </c>
      <c r="AD233">
        <v>138.6</v>
      </c>
      <c r="AE233">
        <v>142.9</v>
      </c>
    </row>
    <row r="234" spans="2:31" x14ac:dyDescent="0.3">
      <c r="B234" t="s">
        <v>30</v>
      </c>
      <c r="C234">
        <v>2019</v>
      </c>
      <c r="D234" t="s">
        <v>40</v>
      </c>
      <c r="E234">
        <v>138.4</v>
      </c>
      <c r="F234">
        <v>164</v>
      </c>
      <c r="G234">
        <v>138.4</v>
      </c>
      <c r="H234">
        <v>143.9</v>
      </c>
      <c r="I234">
        <v>124.4</v>
      </c>
      <c r="J234">
        <v>146.4</v>
      </c>
      <c r="K234">
        <v>150.1</v>
      </c>
      <c r="L234">
        <v>130.6</v>
      </c>
      <c r="M234">
        <v>110.8</v>
      </c>
      <c r="N234">
        <v>141.69999999999999</v>
      </c>
      <c r="O234">
        <v>138.5</v>
      </c>
      <c r="P234">
        <v>156.69999999999999</v>
      </c>
      <c r="Q234">
        <v>143</v>
      </c>
      <c r="R234">
        <v>164.5</v>
      </c>
      <c r="S234">
        <v>151.6</v>
      </c>
      <c r="T234">
        <v>146.6</v>
      </c>
      <c r="U234">
        <v>150.9</v>
      </c>
      <c r="V234" t="s">
        <v>32</v>
      </c>
      <c r="W234">
        <v>146.80000000000001</v>
      </c>
      <c r="X234">
        <v>150</v>
      </c>
      <c r="Y234">
        <v>152.19999999999999</v>
      </c>
      <c r="Z234">
        <v>131.19999999999999</v>
      </c>
      <c r="AA234">
        <v>147.5</v>
      </c>
      <c r="AB234">
        <v>159.1</v>
      </c>
      <c r="AC234">
        <v>136.1</v>
      </c>
      <c r="AD234">
        <v>144.19999999999999</v>
      </c>
      <c r="AE234">
        <v>144.9</v>
      </c>
    </row>
    <row r="235" spans="2:31" x14ac:dyDescent="0.3">
      <c r="B235" t="s">
        <v>33</v>
      </c>
      <c r="C235">
        <v>2019</v>
      </c>
      <c r="D235" t="s">
        <v>40</v>
      </c>
      <c r="E235">
        <v>141.4</v>
      </c>
      <c r="F235">
        <v>160.19999999999999</v>
      </c>
      <c r="G235">
        <v>142.5</v>
      </c>
      <c r="H235">
        <v>144.1</v>
      </c>
      <c r="I235">
        <v>119.3</v>
      </c>
      <c r="J235">
        <v>154.69999999999999</v>
      </c>
      <c r="K235">
        <v>180.1</v>
      </c>
      <c r="L235">
        <v>128.9</v>
      </c>
      <c r="M235">
        <v>111.8</v>
      </c>
      <c r="N235">
        <v>141.6</v>
      </c>
      <c r="O235">
        <v>129.5</v>
      </c>
      <c r="P235">
        <v>155.6</v>
      </c>
      <c r="Q235">
        <v>147.69999999999999</v>
      </c>
      <c r="R235">
        <v>167.2</v>
      </c>
      <c r="S235">
        <v>144.69999999999999</v>
      </c>
      <c r="T235">
        <v>131.9</v>
      </c>
      <c r="U235">
        <v>142.69999999999999</v>
      </c>
      <c r="V235">
        <v>150.6</v>
      </c>
      <c r="W235">
        <v>127</v>
      </c>
      <c r="X235">
        <v>137.69999999999999</v>
      </c>
      <c r="Y235">
        <v>140.80000000000001</v>
      </c>
      <c r="Z235">
        <v>120.6</v>
      </c>
      <c r="AA235">
        <v>135</v>
      </c>
      <c r="AB235">
        <v>150.4</v>
      </c>
      <c r="AC235">
        <v>135.1</v>
      </c>
      <c r="AD235">
        <v>134.5</v>
      </c>
      <c r="AE235">
        <v>143.30000000000001</v>
      </c>
    </row>
    <row r="236" spans="2:31" x14ac:dyDescent="0.3">
      <c r="B236" t="s">
        <v>34</v>
      </c>
      <c r="C236">
        <v>2019</v>
      </c>
      <c r="D236" t="s">
        <v>40</v>
      </c>
      <c r="E236">
        <v>139.30000000000001</v>
      </c>
      <c r="F236">
        <v>162.69999999999999</v>
      </c>
      <c r="G236">
        <v>140</v>
      </c>
      <c r="H236">
        <v>144</v>
      </c>
      <c r="I236">
        <v>122.5</v>
      </c>
      <c r="J236">
        <v>150.30000000000001</v>
      </c>
      <c r="K236">
        <v>160.30000000000001</v>
      </c>
      <c r="L236">
        <v>130</v>
      </c>
      <c r="M236">
        <v>111.1</v>
      </c>
      <c r="N236">
        <v>141.69999999999999</v>
      </c>
      <c r="O236">
        <v>134.69999999999999</v>
      </c>
      <c r="P236">
        <v>156.19999999999999</v>
      </c>
      <c r="Q236">
        <v>144.69999999999999</v>
      </c>
      <c r="R236">
        <v>165.2</v>
      </c>
      <c r="S236">
        <v>148.9</v>
      </c>
      <c r="T236">
        <v>140.5</v>
      </c>
      <c r="U236">
        <v>147.6</v>
      </c>
      <c r="V236">
        <v>150.6</v>
      </c>
      <c r="W236">
        <v>139.30000000000001</v>
      </c>
      <c r="X236">
        <v>144.19999999999999</v>
      </c>
      <c r="Y236">
        <v>147.9</v>
      </c>
      <c r="Z236">
        <v>125.6</v>
      </c>
      <c r="AA236">
        <v>140.5</v>
      </c>
      <c r="AB236">
        <v>154</v>
      </c>
      <c r="AC236">
        <v>135.69999999999999</v>
      </c>
      <c r="AD236">
        <v>139.5</v>
      </c>
      <c r="AE236">
        <v>144.19999999999999</v>
      </c>
    </row>
    <row r="237" spans="2:31" x14ac:dyDescent="0.3">
      <c r="B237" t="s">
        <v>30</v>
      </c>
      <c r="C237">
        <v>2019</v>
      </c>
      <c r="D237" t="s">
        <v>41</v>
      </c>
      <c r="E237">
        <v>139.19999999999999</v>
      </c>
      <c r="F237">
        <v>161.9</v>
      </c>
      <c r="G237">
        <v>137.1</v>
      </c>
      <c r="H237">
        <v>144.6</v>
      </c>
      <c r="I237">
        <v>124.7</v>
      </c>
      <c r="J237">
        <v>145.5</v>
      </c>
      <c r="K237">
        <v>156.19999999999999</v>
      </c>
      <c r="L237">
        <v>131.5</v>
      </c>
      <c r="M237">
        <v>111.7</v>
      </c>
      <c r="N237">
        <v>142.69999999999999</v>
      </c>
      <c r="O237">
        <v>138.5</v>
      </c>
      <c r="P237">
        <v>156.9</v>
      </c>
      <c r="Q237">
        <v>144</v>
      </c>
      <c r="R237">
        <v>165.1</v>
      </c>
      <c r="S237">
        <v>151.80000000000001</v>
      </c>
      <c r="T237">
        <v>146.6</v>
      </c>
      <c r="U237">
        <v>151.1</v>
      </c>
      <c r="V237" t="s">
        <v>32</v>
      </c>
      <c r="W237">
        <v>146.4</v>
      </c>
      <c r="X237">
        <v>150.19999999999999</v>
      </c>
      <c r="Y237">
        <v>152.69999999999999</v>
      </c>
      <c r="Z237">
        <v>131.4</v>
      </c>
      <c r="AA237">
        <v>148</v>
      </c>
      <c r="AB237">
        <v>159.69999999999999</v>
      </c>
      <c r="AC237">
        <v>138.80000000000001</v>
      </c>
      <c r="AD237">
        <v>144.9</v>
      </c>
      <c r="AE237">
        <v>145.69999999999999</v>
      </c>
    </row>
    <row r="238" spans="2:31" x14ac:dyDescent="0.3">
      <c r="B238" t="s">
        <v>33</v>
      </c>
      <c r="C238">
        <v>2019</v>
      </c>
      <c r="D238" t="s">
        <v>41</v>
      </c>
      <c r="E238">
        <v>142.1</v>
      </c>
      <c r="F238">
        <v>158.30000000000001</v>
      </c>
      <c r="G238">
        <v>140.80000000000001</v>
      </c>
      <c r="H238">
        <v>144.9</v>
      </c>
      <c r="I238">
        <v>119.9</v>
      </c>
      <c r="J238">
        <v>153.9</v>
      </c>
      <c r="K238">
        <v>189.1</v>
      </c>
      <c r="L238">
        <v>129.80000000000001</v>
      </c>
      <c r="M238">
        <v>112.7</v>
      </c>
      <c r="N238">
        <v>142.5</v>
      </c>
      <c r="O238">
        <v>129.80000000000001</v>
      </c>
      <c r="P238">
        <v>156.19999999999999</v>
      </c>
      <c r="Q238">
        <v>149.1</v>
      </c>
      <c r="R238">
        <v>167.9</v>
      </c>
      <c r="S238">
        <v>145</v>
      </c>
      <c r="T238">
        <v>132.19999999999999</v>
      </c>
      <c r="U238">
        <v>143</v>
      </c>
      <c r="V238">
        <v>151.6</v>
      </c>
      <c r="W238">
        <v>125.5</v>
      </c>
      <c r="X238">
        <v>138.1</v>
      </c>
      <c r="Y238">
        <v>141.5</v>
      </c>
      <c r="Z238">
        <v>120.8</v>
      </c>
      <c r="AA238">
        <v>135.4</v>
      </c>
      <c r="AB238">
        <v>151.5</v>
      </c>
      <c r="AC238">
        <v>137.80000000000001</v>
      </c>
      <c r="AD238">
        <v>135.30000000000001</v>
      </c>
      <c r="AE238">
        <v>144.19999999999999</v>
      </c>
    </row>
    <row r="239" spans="2:31" x14ac:dyDescent="0.3">
      <c r="B239" t="s">
        <v>34</v>
      </c>
      <c r="C239">
        <v>2019</v>
      </c>
      <c r="D239" t="s">
        <v>41</v>
      </c>
      <c r="E239">
        <v>140.1</v>
      </c>
      <c r="F239">
        <v>160.6</v>
      </c>
      <c r="G239">
        <v>138.5</v>
      </c>
      <c r="H239">
        <v>144.69999999999999</v>
      </c>
      <c r="I239">
        <v>122.9</v>
      </c>
      <c r="J239">
        <v>149.4</v>
      </c>
      <c r="K239">
        <v>167.4</v>
      </c>
      <c r="L239">
        <v>130.9</v>
      </c>
      <c r="M239">
        <v>112</v>
      </c>
      <c r="N239">
        <v>142.6</v>
      </c>
      <c r="O239">
        <v>134.9</v>
      </c>
      <c r="P239">
        <v>156.6</v>
      </c>
      <c r="Q239">
        <v>145.9</v>
      </c>
      <c r="R239">
        <v>165.8</v>
      </c>
      <c r="S239">
        <v>149.1</v>
      </c>
      <c r="T239">
        <v>140.6</v>
      </c>
      <c r="U239">
        <v>147.9</v>
      </c>
      <c r="V239">
        <v>151.6</v>
      </c>
      <c r="W239">
        <v>138.5</v>
      </c>
      <c r="X239">
        <v>144.5</v>
      </c>
      <c r="Y239">
        <v>148.5</v>
      </c>
      <c r="Z239">
        <v>125.8</v>
      </c>
      <c r="AA239">
        <v>140.9</v>
      </c>
      <c r="AB239">
        <v>154.9</v>
      </c>
      <c r="AC239">
        <v>138.4</v>
      </c>
      <c r="AD239">
        <v>140.19999999999999</v>
      </c>
      <c r="AE239">
        <v>145</v>
      </c>
    </row>
    <row r="240" spans="2:31" x14ac:dyDescent="0.3">
      <c r="B240" t="s">
        <v>30</v>
      </c>
      <c r="C240">
        <v>2019</v>
      </c>
      <c r="D240" t="s">
        <v>42</v>
      </c>
      <c r="E240">
        <v>140.1</v>
      </c>
      <c r="F240">
        <v>161.9</v>
      </c>
      <c r="G240">
        <v>138.30000000000001</v>
      </c>
      <c r="H240">
        <v>145.69999999999999</v>
      </c>
      <c r="I240">
        <v>125.1</v>
      </c>
      <c r="J240">
        <v>143.80000000000001</v>
      </c>
      <c r="K240">
        <v>163.4</v>
      </c>
      <c r="L240">
        <v>132.19999999999999</v>
      </c>
      <c r="M240">
        <v>112.8</v>
      </c>
      <c r="N240">
        <v>144.19999999999999</v>
      </c>
      <c r="O240">
        <v>138.5</v>
      </c>
      <c r="P240">
        <v>157.19999999999999</v>
      </c>
      <c r="Q240">
        <v>145.5</v>
      </c>
      <c r="R240">
        <v>165.7</v>
      </c>
      <c r="S240">
        <v>151.69999999999999</v>
      </c>
      <c r="T240">
        <v>146.6</v>
      </c>
      <c r="U240">
        <v>151</v>
      </c>
      <c r="V240" t="s">
        <v>32</v>
      </c>
      <c r="W240">
        <v>146.9</v>
      </c>
      <c r="X240">
        <v>150.30000000000001</v>
      </c>
      <c r="Y240">
        <v>153.4</v>
      </c>
      <c r="Z240">
        <v>131.6</v>
      </c>
      <c r="AA240">
        <v>148.30000000000001</v>
      </c>
      <c r="AB240">
        <v>160.19999999999999</v>
      </c>
      <c r="AC240">
        <v>140.19999999999999</v>
      </c>
      <c r="AD240">
        <v>145.4</v>
      </c>
      <c r="AE240">
        <v>146.69999999999999</v>
      </c>
    </row>
    <row r="241" spans="2:31" x14ac:dyDescent="0.3">
      <c r="B241" t="s">
        <v>33</v>
      </c>
      <c r="C241">
        <v>2019</v>
      </c>
      <c r="D241" t="s">
        <v>42</v>
      </c>
      <c r="E241">
        <v>142.69999999999999</v>
      </c>
      <c r="F241">
        <v>158.69999999999999</v>
      </c>
      <c r="G241">
        <v>141.6</v>
      </c>
      <c r="H241">
        <v>144.9</v>
      </c>
      <c r="I241">
        <v>120.8</v>
      </c>
      <c r="J241">
        <v>149.80000000000001</v>
      </c>
      <c r="K241">
        <v>192.4</v>
      </c>
      <c r="L241">
        <v>130.30000000000001</v>
      </c>
      <c r="M241">
        <v>114</v>
      </c>
      <c r="N241">
        <v>143.80000000000001</v>
      </c>
      <c r="O241">
        <v>130</v>
      </c>
      <c r="P241">
        <v>156.4</v>
      </c>
      <c r="Q241">
        <v>149.5</v>
      </c>
      <c r="R241">
        <v>168.6</v>
      </c>
      <c r="S241">
        <v>145.30000000000001</v>
      </c>
      <c r="T241">
        <v>132.19999999999999</v>
      </c>
      <c r="U241">
        <v>143.30000000000001</v>
      </c>
      <c r="V241">
        <v>152.19999999999999</v>
      </c>
      <c r="W241">
        <v>126.6</v>
      </c>
      <c r="X241">
        <v>138.30000000000001</v>
      </c>
      <c r="Y241">
        <v>141.9</v>
      </c>
      <c r="Z241">
        <v>121.2</v>
      </c>
      <c r="AA241">
        <v>135.9</v>
      </c>
      <c r="AB241">
        <v>151.6</v>
      </c>
      <c r="AC241">
        <v>139</v>
      </c>
      <c r="AD241">
        <v>135.69999999999999</v>
      </c>
      <c r="AE241">
        <v>144.69999999999999</v>
      </c>
    </row>
    <row r="242" spans="2:31" x14ac:dyDescent="0.3">
      <c r="B242" t="s">
        <v>34</v>
      </c>
      <c r="C242">
        <v>2019</v>
      </c>
      <c r="D242" t="s">
        <v>42</v>
      </c>
      <c r="E242">
        <v>140.9</v>
      </c>
      <c r="F242">
        <v>160.80000000000001</v>
      </c>
      <c r="G242">
        <v>139.6</v>
      </c>
      <c r="H242">
        <v>145.4</v>
      </c>
      <c r="I242">
        <v>123.5</v>
      </c>
      <c r="J242">
        <v>146.6</v>
      </c>
      <c r="K242">
        <v>173.2</v>
      </c>
      <c r="L242">
        <v>131.6</v>
      </c>
      <c r="M242">
        <v>113.2</v>
      </c>
      <c r="N242">
        <v>144.1</v>
      </c>
      <c r="O242">
        <v>135</v>
      </c>
      <c r="P242">
        <v>156.80000000000001</v>
      </c>
      <c r="Q242">
        <v>147</v>
      </c>
      <c r="R242">
        <v>166.5</v>
      </c>
      <c r="S242">
        <v>149.19999999999999</v>
      </c>
      <c r="T242">
        <v>140.6</v>
      </c>
      <c r="U242">
        <v>147.9</v>
      </c>
      <c r="V242">
        <v>152.19999999999999</v>
      </c>
      <c r="W242">
        <v>139.19999999999999</v>
      </c>
      <c r="X242">
        <v>144.6</v>
      </c>
      <c r="Y242">
        <v>149</v>
      </c>
      <c r="Z242">
        <v>126.1</v>
      </c>
      <c r="AA242">
        <v>141.30000000000001</v>
      </c>
      <c r="AB242">
        <v>155.19999999999999</v>
      </c>
      <c r="AC242">
        <v>139.69999999999999</v>
      </c>
      <c r="AD242">
        <v>140.69999999999999</v>
      </c>
      <c r="AE242">
        <v>145.80000000000001</v>
      </c>
    </row>
    <row r="243" spans="2:31" x14ac:dyDescent="0.3">
      <c r="B243" t="s">
        <v>30</v>
      </c>
      <c r="C243">
        <v>2019</v>
      </c>
      <c r="D243" t="s">
        <v>43</v>
      </c>
      <c r="E243">
        <v>141</v>
      </c>
      <c r="F243">
        <v>161.6</v>
      </c>
      <c r="G243">
        <v>141.19999999999999</v>
      </c>
      <c r="H243">
        <v>146.5</v>
      </c>
      <c r="I243">
        <v>125.6</v>
      </c>
      <c r="J243">
        <v>145.69999999999999</v>
      </c>
      <c r="K243">
        <v>178.8</v>
      </c>
      <c r="L243">
        <v>133.1</v>
      </c>
      <c r="M243">
        <v>113.6</v>
      </c>
      <c r="N243">
        <v>145.5</v>
      </c>
      <c r="O243">
        <v>138.6</v>
      </c>
      <c r="P243">
        <v>157.4</v>
      </c>
      <c r="Q243">
        <v>148.30000000000001</v>
      </c>
      <c r="R243">
        <v>166.3</v>
      </c>
      <c r="S243">
        <v>151.69999999999999</v>
      </c>
      <c r="T243">
        <v>146.69999999999999</v>
      </c>
      <c r="U243">
        <v>151</v>
      </c>
      <c r="V243" t="s">
        <v>32</v>
      </c>
      <c r="W243">
        <v>147.69999999999999</v>
      </c>
      <c r="X243">
        <v>150.6</v>
      </c>
      <c r="Y243">
        <v>153.69999999999999</v>
      </c>
      <c r="Z243">
        <v>131.69999999999999</v>
      </c>
      <c r="AA243">
        <v>148.69999999999999</v>
      </c>
      <c r="AB243">
        <v>160.69999999999999</v>
      </c>
      <c r="AC243">
        <v>140.30000000000001</v>
      </c>
      <c r="AD243">
        <v>145.69999999999999</v>
      </c>
      <c r="AE243">
        <v>148.30000000000001</v>
      </c>
    </row>
    <row r="244" spans="2:31" x14ac:dyDescent="0.3">
      <c r="B244" t="s">
        <v>33</v>
      </c>
      <c r="C244">
        <v>2019</v>
      </c>
      <c r="D244" t="s">
        <v>43</v>
      </c>
      <c r="E244">
        <v>143.5</v>
      </c>
      <c r="F244">
        <v>159.80000000000001</v>
      </c>
      <c r="G244">
        <v>144.69999999999999</v>
      </c>
      <c r="H244">
        <v>145.6</v>
      </c>
      <c r="I244">
        <v>121.1</v>
      </c>
      <c r="J244">
        <v>150.6</v>
      </c>
      <c r="K244">
        <v>207.2</v>
      </c>
      <c r="L244">
        <v>131.19999999999999</v>
      </c>
      <c r="M244">
        <v>114.8</v>
      </c>
      <c r="N244">
        <v>145.19999999999999</v>
      </c>
      <c r="O244">
        <v>130.19999999999999</v>
      </c>
      <c r="P244">
        <v>156.80000000000001</v>
      </c>
      <c r="Q244">
        <v>151.9</v>
      </c>
      <c r="R244">
        <v>169.3</v>
      </c>
      <c r="S244">
        <v>145.9</v>
      </c>
      <c r="T244">
        <v>132.4</v>
      </c>
      <c r="U244">
        <v>143.9</v>
      </c>
      <c r="V244">
        <v>153</v>
      </c>
      <c r="W244">
        <v>128.9</v>
      </c>
      <c r="X244">
        <v>138.69999999999999</v>
      </c>
      <c r="Y244">
        <v>142.4</v>
      </c>
      <c r="Z244">
        <v>121.5</v>
      </c>
      <c r="AA244">
        <v>136.19999999999999</v>
      </c>
      <c r="AB244">
        <v>151.69999999999999</v>
      </c>
      <c r="AC244">
        <v>139.5</v>
      </c>
      <c r="AD244">
        <v>136</v>
      </c>
      <c r="AE244">
        <v>146</v>
      </c>
    </row>
    <row r="245" spans="2:31" x14ac:dyDescent="0.3">
      <c r="B245" t="s">
        <v>34</v>
      </c>
      <c r="C245">
        <v>2019</v>
      </c>
      <c r="D245" t="s">
        <v>43</v>
      </c>
      <c r="E245">
        <v>141.80000000000001</v>
      </c>
      <c r="F245">
        <v>161</v>
      </c>
      <c r="G245">
        <v>142.6</v>
      </c>
      <c r="H245">
        <v>146.19999999999999</v>
      </c>
      <c r="I245">
        <v>123.9</v>
      </c>
      <c r="J245">
        <v>148</v>
      </c>
      <c r="K245">
        <v>188.4</v>
      </c>
      <c r="L245">
        <v>132.5</v>
      </c>
      <c r="M245">
        <v>114</v>
      </c>
      <c r="N245">
        <v>145.4</v>
      </c>
      <c r="O245">
        <v>135.1</v>
      </c>
      <c r="P245">
        <v>157.1</v>
      </c>
      <c r="Q245">
        <v>149.6</v>
      </c>
      <c r="R245">
        <v>167.1</v>
      </c>
      <c r="S245">
        <v>149.4</v>
      </c>
      <c r="T245">
        <v>140.80000000000001</v>
      </c>
      <c r="U245">
        <v>148.19999999999999</v>
      </c>
      <c r="V245">
        <v>153</v>
      </c>
      <c r="W245">
        <v>140.6</v>
      </c>
      <c r="X245">
        <v>145</v>
      </c>
      <c r="Y245">
        <v>149.4</v>
      </c>
      <c r="Z245">
        <v>126.3</v>
      </c>
      <c r="AA245">
        <v>141.69999999999999</v>
      </c>
      <c r="AB245">
        <v>155.4</v>
      </c>
      <c r="AC245">
        <v>140</v>
      </c>
      <c r="AD245">
        <v>141</v>
      </c>
      <c r="AE245">
        <v>147.19999999999999</v>
      </c>
    </row>
    <row r="246" spans="2:31" x14ac:dyDescent="0.3">
      <c r="B246" t="s">
        <v>30</v>
      </c>
      <c r="C246">
        <v>2019</v>
      </c>
      <c r="D246" t="s">
        <v>45</v>
      </c>
      <c r="E246">
        <v>141.80000000000001</v>
      </c>
      <c r="F246">
        <v>163.69999999999999</v>
      </c>
      <c r="G246">
        <v>143.80000000000001</v>
      </c>
      <c r="H246">
        <v>147.1</v>
      </c>
      <c r="I246">
        <v>126</v>
      </c>
      <c r="J246">
        <v>146.19999999999999</v>
      </c>
      <c r="K246">
        <v>191.4</v>
      </c>
      <c r="L246">
        <v>136.19999999999999</v>
      </c>
      <c r="M246">
        <v>113.8</v>
      </c>
      <c r="N246">
        <v>147.30000000000001</v>
      </c>
      <c r="O246">
        <v>138.69999999999999</v>
      </c>
      <c r="P246">
        <v>157.69999999999999</v>
      </c>
      <c r="Q246">
        <v>150.9</v>
      </c>
      <c r="R246">
        <v>167.2</v>
      </c>
      <c r="S246">
        <v>152.30000000000001</v>
      </c>
      <c r="T246">
        <v>147</v>
      </c>
      <c r="U246">
        <v>151.5</v>
      </c>
      <c r="V246" t="s">
        <v>32</v>
      </c>
      <c r="W246">
        <v>148.4</v>
      </c>
      <c r="X246">
        <v>150.9</v>
      </c>
      <c r="Y246">
        <v>154.30000000000001</v>
      </c>
      <c r="Z246">
        <v>132.1</v>
      </c>
      <c r="AA246">
        <v>149.1</v>
      </c>
      <c r="AB246">
        <v>160.80000000000001</v>
      </c>
      <c r="AC246">
        <v>140.6</v>
      </c>
      <c r="AD246">
        <v>146.1</v>
      </c>
      <c r="AE246">
        <v>149.9</v>
      </c>
    </row>
    <row r="247" spans="2:31" x14ac:dyDescent="0.3">
      <c r="B247" t="s">
        <v>33</v>
      </c>
      <c r="C247">
        <v>2019</v>
      </c>
      <c r="D247" t="s">
        <v>45</v>
      </c>
      <c r="E247">
        <v>144.1</v>
      </c>
      <c r="F247">
        <v>162.4</v>
      </c>
      <c r="G247">
        <v>148.4</v>
      </c>
      <c r="H247">
        <v>145.9</v>
      </c>
      <c r="I247">
        <v>121.5</v>
      </c>
      <c r="J247">
        <v>148.80000000000001</v>
      </c>
      <c r="K247">
        <v>215.7</v>
      </c>
      <c r="L247">
        <v>134.6</v>
      </c>
      <c r="M247">
        <v>115</v>
      </c>
      <c r="N247">
        <v>146.30000000000001</v>
      </c>
      <c r="O247">
        <v>130.5</v>
      </c>
      <c r="P247">
        <v>157.19999999999999</v>
      </c>
      <c r="Q247">
        <v>153.6</v>
      </c>
      <c r="R247">
        <v>169.9</v>
      </c>
      <c r="S247">
        <v>146.30000000000001</v>
      </c>
      <c r="T247">
        <v>132.6</v>
      </c>
      <c r="U247">
        <v>144.19999999999999</v>
      </c>
      <c r="V247">
        <v>153.5</v>
      </c>
      <c r="W247">
        <v>132.19999999999999</v>
      </c>
      <c r="X247">
        <v>139.1</v>
      </c>
      <c r="Y247">
        <v>142.80000000000001</v>
      </c>
      <c r="Z247">
        <v>121.7</v>
      </c>
      <c r="AA247">
        <v>136.69999999999999</v>
      </c>
      <c r="AB247">
        <v>151.80000000000001</v>
      </c>
      <c r="AC247">
        <v>139.80000000000001</v>
      </c>
      <c r="AD247">
        <v>136.30000000000001</v>
      </c>
      <c r="AE247">
        <v>147</v>
      </c>
    </row>
    <row r="248" spans="2:31" x14ac:dyDescent="0.3">
      <c r="B248" t="s">
        <v>34</v>
      </c>
      <c r="C248">
        <v>2019</v>
      </c>
      <c r="D248" t="s">
        <v>45</v>
      </c>
      <c r="E248">
        <v>142.5</v>
      </c>
      <c r="F248">
        <v>163.19999999999999</v>
      </c>
      <c r="G248">
        <v>145.6</v>
      </c>
      <c r="H248">
        <v>146.69999999999999</v>
      </c>
      <c r="I248">
        <v>124.3</v>
      </c>
      <c r="J248">
        <v>147.4</v>
      </c>
      <c r="K248">
        <v>199.6</v>
      </c>
      <c r="L248">
        <v>135.69999999999999</v>
      </c>
      <c r="M248">
        <v>114.2</v>
      </c>
      <c r="N248">
        <v>147</v>
      </c>
      <c r="O248">
        <v>135.30000000000001</v>
      </c>
      <c r="P248">
        <v>157.5</v>
      </c>
      <c r="Q248">
        <v>151.9</v>
      </c>
      <c r="R248">
        <v>167.9</v>
      </c>
      <c r="S248">
        <v>149.9</v>
      </c>
      <c r="T248">
        <v>141</v>
      </c>
      <c r="U248">
        <v>148.6</v>
      </c>
      <c r="V248">
        <v>153.5</v>
      </c>
      <c r="W248">
        <v>142.30000000000001</v>
      </c>
      <c r="X248">
        <v>145.30000000000001</v>
      </c>
      <c r="Y248">
        <v>149.9</v>
      </c>
      <c r="Z248">
        <v>126.6</v>
      </c>
      <c r="AA248">
        <v>142.1</v>
      </c>
      <c r="AB248">
        <v>155.5</v>
      </c>
      <c r="AC248">
        <v>140.30000000000001</v>
      </c>
      <c r="AD248">
        <v>141.30000000000001</v>
      </c>
      <c r="AE248">
        <v>148.6</v>
      </c>
    </row>
    <row r="249" spans="2:31" x14ac:dyDescent="0.3">
      <c r="B249" t="s">
        <v>30</v>
      </c>
      <c r="C249">
        <v>2019</v>
      </c>
      <c r="D249" t="s">
        <v>46</v>
      </c>
      <c r="E249">
        <v>142.80000000000001</v>
      </c>
      <c r="F249">
        <v>165.3</v>
      </c>
      <c r="G249">
        <v>149.5</v>
      </c>
      <c r="H249">
        <v>148.69999999999999</v>
      </c>
      <c r="I249">
        <v>127.5</v>
      </c>
      <c r="J249">
        <v>144.30000000000001</v>
      </c>
      <c r="K249">
        <v>209.5</v>
      </c>
      <c r="L249">
        <v>138.80000000000001</v>
      </c>
      <c r="M249">
        <v>113.6</v>
      </c>
      <c r="N249">
        <v>149.1</v>
      </c>
      <c r="O249">
        <v>139.30000000000001</v>
      </c>
      <c r="P249">
        <v>158.30000000000001</v>
      </c>
      <c r="Q249">
        <v>154.30000000000001</v>
      </c>
      <c r="R249">
        <v>167.8</v>
      </c>
      <c r="S249">
        <v>152.6</v>
      </c>
      <c r="T249">
        <v>147.30000000000001</v>
      </c>
      <c r="U249">
        <v>151.9</v>
      </c>
      <c r="V249" t="s">
        <v>32</v>
      </c>
      <c r="W249">
        <v>149.9</v>
      </c>
      <c r="X249">
        <v>151.19999999999999</v>
      </c>
      <c r="Y249">
        <v>154.80000000000001</v>
      </c>
      <c r="Z249">
        <v>135</v>
      </c>
      <c r="AA249">
        <v>149.5</v>
      </c>
      <c r="AB249">
        <v>161.1</v>
      </c>
      <c r="AC249">
        <v>140.6</v>
      </c>
      <c r="AD249">
        <v>147.1</v>
      </c>
      <c r="AE249">
        <v>152.30000000000001</v>
      </c>
    </row>
    <row r="250" spans="2:31" x14ac:dyDescent="0.3">
      <c r="B250" t="s">
        <v>33</v>
      </c>
      <c r="C250">
        <v>2019</v>
      </c>
      <c r="D250" t="s">
        <v>46</v>
      </c>
      <c r="E250">
        <v>144.9</v>
      </c>
      <c r="F250">
        <v>164.5</v>
      </c>
      <c r="G250">
        <v>153.69999999999999</v>
      </c>
      <c r="H250">
        <v>147.5</v>
      </c>
      <c r="I250">
        <v>122.7</v>
      </c>
      <c r="J250">
        <v>147.19999999999999</v>
      </c>
      <c r="K250">
        <v>231.5</v>
      </c>
      <c r="L250">
        <v>137.19999999999999</v>
      </c>
      <c r="M250">
        <v>114.7</v>
      </c>
      <c r="N250">
        <v>148</v>
      </c>
      <c r="O250">
        <v>130.80000000000001</v>
      </c>
      <c r="P250">
        <v>157.69999999999999</v>
      </c>
      <c r="Q250">
        <v>156.30000000000001</v>
      </c>
      <c r="R250">
        <v>170.4</v>
      </c>
      <c r="S250">
        <v>146.80000000000001</v>
      </c>
      <c r="T250">
        <v>132.80000000000001</v>
      </c>
      <c r="U250">
        <v>144.6</v>
      </c>
      <c r="V250">
        <v>152.80000000000001</v>
      </c>
      <c r="W250">
        <v>133.6</v>
      </c>
      <c r="X250">
        <v>139.80000000000001</v>
      </c>
      <c r="Y250">
        <v>143.19999999999999</v>
      </c>
      <c r="Z250">
        <v>125.2</v>
      </c>
      <c r="AA250">
        <v>136.80000000000001</v>
      </c>
      <c r="AB250">
        <v>151.9</v>
      </c>
      <c r="AC250">
        <v>140.19999999999999</v>
      </c>
      <c r="AD250">
        <v>137.69999999999999</v>
      </c>
      <c r="AE250">
        <v>148.30000000000001</v>
      </c>
    </row>
    <row r="251" spans="2:31" x14ac:dyDescent="0.3">
      <c r="B251" t="s">
        <v>34</v>
      </c>
      <c r="C251">
        <v>2019</v>
      </c>
      <c r="D251" t="s">
        <v>46</v>
      </c>
      <c r="E251">
        <v>143.5</v>
      </c>
      <c r="F251">
        <v>165</v>
      </c>
      <c r="G251">
        <v>151.1</v>
      </c>
      <c r="H251">
        <v>148.30000000000001</v>
      </c>
      <c r="I251">
        <v>125.7</v>
      </c>
      <c r="J251">
        <v>145.69999999999999</v>
      </c>
      <c r="K251">
        <v>217</v>
      </c>
      <c r="L251">
        <v>138.30000000000001</v>
      </c>
      <c r="M251">
        <v>114</v>
      </c>
      <c r="N251">
        <v>148.69999999999999</v>
      </c>
      <c r="O251">
        <v>135.80000000000001</v>
      </c>
      <c r="P251">
        <v>158</v>
      </c>
      <c r="Q251">
        <v>155</v>
      </c>
      <c r="R251">
        <v>168.5</v>
      </c>
      <c r="S251">
        <v>150.30000000000001</v>
      </c>
      <c r="T251">
        <v>141.30000000000001</v>
      </c>
      <c r="U251">
        <v>149</v>
      </c>
      <c r="V251">
        <v>152.80000000000001</v>
      </c>
      <c r="W251">
        <v>143.69999999999999</v>
      </c>
      <c r="X251">
        <v>145.80000000000001</v>
      </c>
      <c r="Y251">
        <v>150.4</v>
      </c>
      <c r="Z251">
        <v>129.80000000000001</v>
      </c>
      <c r="AA251">
        <v>142.30000000000001</v>
      </c>
      <c r="AB251">
        <v>155.69999999999999</v>
      </c>
      <c r="AC251">
        <v>140.4</v>
      </c>
      <c r="AD251">
        <v>142.5</v>
      </c>
      <c r="AE251">
        <v>150.4</v>
      </c>
    </row>
    <row r="252" spans="2:31" x14ac:dyDescent="0.3">
      <c r="B252" t="s">
        <v>30</v>
      </c>
      <c r="C252">
        <v>2020</v>
      </c>
      <c r="D252" t="s">
        <v>31</v>
      </c>
      <c r="E252">
        <v>143.69999999999999</v>
      </c>
      <c r="F252">
        <v>167.3</v>
      </c>
      <c r="G252">
        <v>153.5</v>
      </c>
      <c r="H252">
        <v>150.5</v>
      </c>
      <c r="I252">
        <v>132</v>
      </c>
      <c r="J252">
        <v>142.19999999999999</v>
      </c>
      <c r="K252">
        <v>191.5</v>
      </c>
      <c r="L252">
        <v>141.1</v>
      </c>
      <c r="M252">
        <v>113.8</v>
      </c>
      <c r="N252">
        <v>151.6</v>
      </c>
      <c r="O252">
        <v>139.69999999999999</v>
      </c>
      <c r="P252">
        <v>158.69999999999999</v>
      </c>
      <c r="Q252">
        <v>153</v>
      </c>
      <c r="R252">
        <v>168.6</v>
      </c>
      <c r="S252">
        <v>152.80000000000001</v>
      </c>
      <c r="T252">
        <v>147.4</v>
      </c>
      <c r="U252">
        <v>152.1</v>
      </c>
      <c r="V252" t="s">
        <v>32</v>
      </c>
      <c r="W252">
        <v>150.4</v>
      </c>
      <c r="X252">
        <v>151.69999999999999</v>
      </c>
      <c r="Y252">
        <v>155.69999999999999</v>
      </c>
      <c r="Z252">
        <v>136.30000000000001</v>
      </c>
      <c r="AA252">
        <v>150.1</v>
      </c>
      <c r="AB252">
        <v>161.69999999999999</v>
      </c>
      <c r="AC252">
        <v>142.5</v>
      </c>
      <c r="AD252">
        <v>148.1</v>
      </c>
      <c r="AE252">
        <v>151.9</v>
      </c>
    </row>
    <row r="253" spans="2:31" x14ac:dyDescent="0.3">
      <c r="B253" t="s">
        <v>33</v>
      </c>
      <c r="C253">
        <v>2020</v>
      </c>
      <c r="D253" t="s">
        <v>31</v>
      </c>
      <c r="E253">
        <v>145.6</v>
      </c>
      <c r="F253">
        <v>167.6</v>
      </c>
      <c r="G253">
        <v>157</v>
      </c>
      <c r="H253">
        <v>149.30000000000001</v>
      </c>
      <c r="I253">
        <v>126.3</v>
      </c>
      <c r="J253">
        <v>144.4</v>
      </c>
      <c r="K253">
        <v>207.8</v>
      </c>
      <c r="L253">
        <v>139.1</v>
      </c>
      <c r="M253">
        <v>114.8</v>
      </c>
      <c r="N253">
        <v>149.5</v>
      </c>
      <c r="O253">
        <v>131.1</v>
      </c>
      <c r="P253">
        <v>158.5</v>
      </c>
      <c r="Q253">
        <v>154.4</v>
      </c>
      <c r="R253">
        <v>170.8</v>
      </c>
      <c r="S253">
        <v>147</v>
      </c>
      <c r="T253">
        <v>133.19999999999999</v>
      </c>
      <c r="U253">
        <v>144.9</v>
      </c>
      <c r="V253">
        <v>153.9</v>
      </c>
      <c r="W253">
        <v>135.1</v>
      </c>
      <c r="X253">
        <v>140.1</v>
      </c>
      <c r="Y253">
        <v>143.80000000000001</v>
      </c>
      <c r="Z253">
        <v>126.1</v>
      </c>
      <c r="AA253">
        <v>137.19999999999999</v>
      </c>
      <c r="AB253">
        <v>152.1</v>
      </c>
      <c r="AC253">
        <v>142.1</v>
      </c>
      <c r="AD253">
        <v>138.4</v>
      </c>
      <c r="AE253">
        <v>148.19999999999999</v>
      </c>
    </row>
    <row r="254" spans="2:31" x14ac:dyDescent="0.3">
      <c r="B254" t="s">
        <v>34</v>
      </c>
      <c r="C254">
        <v>2020</v>
      </c>
      <c r="D254" t="s">
        <v>31</v>
      </c>
      <c r="E254">
        <v>144.30000000000001</v>
      </c>
      <c r="F254">
        <v>167.4</v>
      </c>
      <c r="G254">
        <v>154.9</v>
      </c>
      <c r="H254">
        <v>150.1</v>
      </c>
      <c r="I254">
        <v>129.9</v>
      </c>
      <c r="J254">
        <v>143.19999999999999</v>
      </c>
      <c r="K254">
        <v>197</v>
      </c>
      <c r="L254">
        <v>140.4</v>
      </c>
      <c r="M254">
        <v>114.1</v>
      </c>
      <c r="N254">
        <v>150.9</v>
      </c>
      <c r="O254">
        <v>136.1</v>
      </c>
      <c r="P254">
        <v>158.6</v>
      </c>
      <c r="Q254">
        <v>153.5</v>
      </c>
      <c r="R254">
        <v>169.2</v>
      </c>
      <c r="S254">
        <v>150.5</v>
      </c>
      <c r="T254">
        <v>141.5</v>
      </c>
      <c r="U254">
        <v>149.19999999999999</v>
      </c>
      <c r="V254">
        <v>153.9</v>
      </c>
      <c r="W254">
        <v>144.6</v>
      </c>
      <c r="X254">
        <v>146.19999999999999</v>
      </c>
      <c r="Y254">
        <v>151.19999999999999</v>
      </c>
      <c r="Z254">
        <v>130.9</v>
      </c>
      <c r="AA254">
        <v>142.80000000000001</v>
      </c>
      <c r="AB254">
        <v>156.1</v>
      </c>
      <c r="AC254">
        <v>142.30000000000001</v>
      </c>
      <c r="AD254">
        <v>143.4</v>
      </c>
      <c r="AE254">
        <v>150.19999999999999</v>
      </c>
    </row>
    <row r="255" spans="2:31" x14ac:dyDescent="0.3">
      <c r="B255" t="s">
        <v>30</v>
      </c>
      <c r="C255">
        <v>2020</v>
      </c>
      <c r="D255" t="s">
        <v>35</v>
      </c>
      <c r="E255">
        <v>144.19999999999999</v>
      </c>
      <c r="F255">
        <v>167.5</v>
      </c>
      <c r="G255">
        <v>150.9</v>
      </c>
      <c r="H255">
        <v>150.9</v>
      </c>
      <c r="I255">
        <v>133.69999999999999</v>
      </c>
      <c r="J255">
        <v>140.69999999999999</v>
      </c>
      <c r="K255">
        <v>165.1</v>
      </c>
      <c r="L255">
        <v>141.80000000000001</v>
      </c>
      <c r="M255">
        <v>113.1</v>
      </c>
      <c r="N255">
        <v>152.80000000000001</v>
      </c>
      <c r="O255">
        <v>140.1</v>
      </c>
      <c r="P255">
        <v>159.19999999999999</v>
      </c>
      <c r="Q255">
        <v>149.80000000000001</v>
      </c>
      <c r="R255">
        <v>169.4</v>
      </c>
      <c r="S255">
        <v>153</v>
      </c>
      <c r="T255">
        <v>147.5</v>
      </c>
      <c r="U255">
        <v>152.30000000000001</v>
      </c>
      <c r="V255" t="s">
        <v>32</v>
      </c>
      <c r="W255">
        <v>152.30000000000001</v>
      </c>
      <c r="X255">
        <v>151.80000000000001</v>
      </c>
      <c r="Y255">
        <v>156.19999999999999</v>
      </c>
      <c r="Z255">
        <v>136</v>
      </c>
      <c r="AA255">
        <v>150.4</v>
      </c>
      <c r="AB255">
        <v>161.9</v>
      </c>
      <c r="AC255">
        <v>143.4</v>
      </c>
      <c r="AD255">
        <v>148.4</v>
      </c>
      <c r="AE255">
        <v>150.4</v>
      </c>
    </row>
    <row r="256" spans="2:31" x14ac:dyDescent="0.3">
      <c r="B256" t="s">
        <v>33</v>
      </c>
      <c r="C256">
        <v>2020</v>
      </c>
      <c r="D256" t="s">
        <v>35</v>
      </c>
      <c r="E256">
        <v>146.19999999999999</v>
      </c>
      <c r="F256">
        <v>167.6</v>
      </c>
      <c r="G256">
        <v>153.1</v>
      </c>
      <c r="H256">
        <v>150.69999999999999</v>
      </c>
      <c r="I256">
        <v>127.4</v>
      </c>
      <c r="J256">
        <v>143.1</v>
      </c>
      <c r="K256">
        <v>181.7</v>
      </c>
      <c r="L256">
        <v>139.6</v>
      </c>
      <c r="M256">
        <v>114.6</v>
      </c>
      <c r="N256">
        <v>150.4</v>
      </c>
      <c r="O256">
        <v>131.5</v>
      </c>
      <c r="P256">
        <v>159</v>
      </c>
      <c r="Q256">
        <v>151.69999999999999</v>
      </c>
      <c r="R256">
        <v>172</v>
      </c>
      <c r="S256">
        <v>147.30000000000001</v>
      </c>
      <c r="T256">
        <v>133.5</v>
      </c>
      <c r="U256">
        <v>145.19999999999999</v>
      </c>
      <c r="V256">
        <v>154.80000000000001</v>
      </c>
      <c r="W256">
        <v>138.9</v>
      </c>
      <c r="X256">
        <v>140.4</v>
      </c>
      <c r="Y256">
        <v>144.4</v>
      </c>
      <c r="Z256">
        <v>125.2</v>
      </c>
      <c r="AA256">
        <v>137.69999999999999</v>
      </c>
      <c r="AB256">
        <v>152.19999999999999</v>
      </c>
      <c r="AC256">
        <v>143.5</v>
      </c>
      <c r="AD256">
        <v>138.4</v>
      </c>
      <c r="AE256">
        <v>147.69999999999999</v>
      </c>
    </row>
    <row r="257" spans="2:31" x14ac:dyDescent="0.3">
      <c r="B257" t="s">
        <v>34</v>
      </c>
      <c r="C257">
        <v>2020</v>
      </c>
      <c r="D257" t="s">
        <v>35</v>
      </c>
      <c r="E257">
        <v>144.80000000000001</v>
      </c>
      <c r="F257">
        <v>167.5</v>
      </c>
      <c r="G257">
        <v>151.80000000000001</v>
      </c>
      <c r="H257">
        <v>150.80000000000001</v>
      </c>
      <c r="I257">
        <v>131.4</v>
      </c>
      <c r="J257">
        <v>141.80000000000001</v>
      </c>
      <c r="K257">
        <v>170.7</v>
      </c>
      <c r="L257">
        <v>141.1</v>
      </c>
      <c r="M257">
        <v>113.6</v>
      </c>
      <c r="N257">
        <v>152</v>
      </c>
      <c r="O257">
        <v>136.5</v>
      </c>
      <c r="P257">
        <v>159.1</v>
      </c>
      <c r="Q257">
        <v>150.5</v>
      </c>
      <c r="R257">
        <v>170.1</v>
      </c>
      <c r="S257">
        <v>150.80000000000001</v>
      </c>
      <c r="T257">
        <v>141.69999999999999</v>
      </c>
      <c r="U257">
        <v>149.5</v>
      </c>
      <c r="V257">
        <v>154.80000000000001</v>
      </c>
      <c r="W257">
        <v>147.19999999999999</v>
      </c>
      <c r="X257">
        <v>146.4</v>
      </c>
      <c r="Y257">
        <v>151.69999999999999</v>
      </c>
      <c r="Z257">
        <v>130.30000000000001</v>
      </c>
      <c r="AA257">
        <v>143.19999999999999</v>
      </c>
      <c r="AB257">
        <v>156.19999999999999</v>
      </c>
      <c r="AC257">
        <v>143.4</v>
      </c>
      <c r="AD257">
        <v>143.6</v>
      </c>
      <c r="AE257">
        <v>149.1</v>
      </c>
    </row>
    <row r="258" spans="2:31" x14ac:dyDescent="0.3">
      <c r="B258" t="s">
        <v>30</v>
      </c>
      <c r="C258">
        <v>2020</v>
      </c>
      <c r="D258" t="s">
        <v>36</v>
      </c>
      <c r="E258">
        <v>144.4</v>
      </c>
      <c r="F258">
        <v>166.8</v>
      </c>
      <c r="G258">
        <v>147.6</v>
      </c>
      <c r="H258">
        <v>151.69999999999999</v>
      </c>
      <c r="I258">
        <v>133.30000000000001</v>
      </c>
      <c r="J258">
        <v>141.80000000000001</v>
      </c>
      <c r="K258">
        <v>152.30000000000001</v>
      </c>
      <c r="L258">
        <v>141.80000000000001</v>
      </c>
      <c r="M258">
        <v>112.6</v>
      </c>
      <c r="N258">
        <v>154</v>
      </c>
      <c r="O258">
        <v>140.1</v>
      </c>
      <c r="P258">
        <v>160</v>
      </c>
      <c r="Q258">
        <v>148.19999999999999</v>
      </c>
      <c r="R258">
        <v>170.5</v>
      </c>
      <c r="S258">
        <v>153.4</v>
      </c>
      <c r="T258">
        <v>147.6</v>
      </c>
      <c r="U258">
        <v>152.5</v>
      </c>
      <c r="V258" t="s">
        <v>32</v>
      </c>
      <c r="W258">
        <v>153.4</v>
      </c>
      <c r="X258">
        <v>151.5</v>
      </c>
      <c r="Y258">
        <v>156.69999999999999</v>
      </c>
      <c r="Z258">
        <v>135.80000000000001</v>
      </c>
      <c r="AA258">
        <v>151.19999999999999</v>
      </c>
      <c r="AB258">
        <v>161.19999999999999</v>
      </c>
      <c r="AC258">
        <v>145.1</v>
      </c>
      <c r="AD258">
        <v>148.6</v>
      </c>
      <c r="AE258">
        <v>149.80000000000001</v>
      </c>
    </row>
    <row r="259" spans="2:31" x14ac:dyDescent="0.3">
      <c r="B259" t="s">
        <v>33</v>
      </c>
      <c r="C259">
        <v>2020</v>
      </c>
      <c r="D259" t="s">
        <v>36</v>
      </c>
      <c r="E259">
        <v>146.5</v>
      </c>
      <c r="F259">
        <v>167.5</v>
      </c>
      <c r="G259">
        <v>148.9</v>
      </c>
      <c r="H259">
        <v>151.1</v>
      </c>
      <c r="I259">
        <v>127.5</v>
      </c>
      <c r="J259">
        <v>143.30000000000001</v>
      </c>
      <c r="K259">
        <v>167</v>
      </c>
      <c r="L259">
        <v>139.69999999999999</v>
      </c>
      <c r="M259">
        <v>114.4</v>
      </c>
      <c r="N259">
        <v>151.5</v>
      </c>
      <c r="O259">
        <v>131.9</v>
      </c>
      <c r="P259">
        <v>159.1</v>
      </c>
      <c r="Q259">
        <v>150.1</v>
      </c>
      <c r="R259">
        <v>173.3</v>
      </c>
      <c r="S259">
        <v>147.69999999999999</v>
      </c>
      <c r="T259">
        <v>133.80000000000001</v>
      </c>
      <c r="U259">
        <v>145.6</v>
      </c>
      <c r="V259">
        <v>154.5</v>
      </c>
      <c r="W259">
        <v>141.4</v>
      </c>
      <c r="X259">
        <v>140.80000000000001</v>
      </c>
      <c r="Y259">
        <v>145</v>
      </c>
      <c r="Z259">
        <v>124.6</v>
      </c>
      <c r="AA259">
        <v>137.9</v>
      </c>
      <c r="AB259">
        <v>152.5</v>
      </c>
      <c r="AC259">
        <v>145.30000000000001</v>
      </c>
      <c r="AD259">
        <v>138.69999999999999</v>
      </c>
      <c r="AE259">
        <v>147.30000000000001</v>
      </c>
    </row>
    <row r="260" spans="2:31" x14ac:dyDescent="0.3">
      <c r="B260" t="s">
        <v>34</v>
      </c>
      <c r="C260">
        <v>2020</v>
      </c>
      <c r="D260" t="s">
        <v>36</v>
      </c>
      <c r="E260">
        <v>145.1</v>
      </c>
      <c r="F260">
        <v>167</v>
      </c>
      <c r="G260">
        <v>148.1</v>
      </c>
      <c r="H260">
        <v>151.5</v>
      </c>
      <c r="I260">
        <v>131.19999999999999</v>
      </c>
      <c r="J260">
        <v>142.5</v>
      </c>
      <c r="K260">
        <v>157.30000000000001</v>
      </c>
      <c r="L260">
        <v>141.1</v>
      </c>
      <c r="M260">
        <v>113.2</v>
      </c>
      <c r="N260">
        <v>153.19999999999999</v>
      </c>
      <c r="O260">
        <v>136.69999999999999</v>
      </c>
      <c r="P260">
        <v>159.6</v>
      </c>
      <c r="Q260">
        <v>148.9</v>
      </c>
      <c r="R260">
        <v>171.2</v>
      </c>
      <c r="S260">
        <v>151.19999999999999</v>
      </c>
      <c r="T260">
        <v>141.9</v>
      </c>
      <c r="U260">
        <v>149.80000000000001</v>
      </c>
      <c r="V260">
        <v>154.5</v>
      </c>
      <c r="W260">
        <v>148.9</v>
      </c>
      <c r="X260">
        <v>146.4</v>
      </c>
      <c r="Y260">
        <v>152.30000000000001</v>
      </c>
      <c r="Z260">
        <v>129.9</v>
      </c>
      <c r="AA260">
        <v>143.69999999999999</v>
      </c>
      <c r="AB260">
        <v>156.1</v>
      </c>
      <c r="AC260">
        <v>145.19999999999999</v>
      </c>
      <c r="AD260">
        <v>143.80000000000001</v>
      </c>
      <c r="AE260">
        <v>148.6</v>
      </c>
    </row>
    <row r="261" spans="2:31" x14ac:dyDescent="0.3">
      <c r="B261" t="s">
        <v>30</v>
      </c>
      <c r="C261">
        <v>2020</v>
      </c>
      <c r="D261" t="s">
        <v>37</v>
      </c>
      <c r="E261">
        <v>147.19999999999999</v>
      </c>
      <c r="F261" t="s">
        <v>32</v>
      </c>
      <c r="G261">
        <v>146.9</v>
      </c>
      <c r="H261">
        <v>155.6</v>
      </c>
      <c r="I261">
        <v>137.1</v>
      </c>
      <c r="J261">
        <v>147.30000000000001</v>
      </c>
      <c r="K261">
        <v>162.69999999999999</v>
      </c>
      <c r="L261">
        <v>150.19999999999999</v>
      </c>
      <c r="M261">
        <v>119.8</v>
      </c>
      <c r="N261">
        <v>158.69999999999999</v>
      </c>
      <c r="O261">
        <v>139.19999999999999</v>
      </c>
      <c r="P261" t="s">
        <v>32</v>
      </c>
      <c r="Q261">
        <v>150.1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>
        <v>148.4</v>
      </c>
      <c r="X261" t="s">
        <v>32</v>
      </c>
      <c r="Y261">
        <v>154.30000000000001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 t="s">
        <v>32</v>
      </c>
    </row>
    <row r="262" spans="2:31" x14ac:dyDescent="0.3">
      <c r="B262" t="s">
        <v>33</v>
      </c>
      <c r="C262">
        <v>2020</v>
      </c>
      <c r="D262" t="s">
        <v>37</v>
      </c>
      <c r="E262">
        <v>151.80000000000001</v>
      </c>
      <c r="F262" t="s">
        <v>32</v>
      </c>
      <c r="G262">
        <v>151.9</v>
      </c>
      <c r="H262">
        <v>155.5</v>
      </c>
      <c r="I262">
        <v>131.6</v>
      </c>
      <c r="J262">
        <v>152.9</v>
      </c>
      <c r="K262">
        <v>180</v>
      </c>
      <c r="L262">
        <v>150.80000000000001</v>
      </c>
      <c r="M262">
        <v>121.2</v>
      </c>
      <c r="N262">
        <v>154</v>
      </c>
      <c r="O262">
        <v>133.5</v>
      </c>
      <c r="P262" t="s">
        <v>32</v>
      </c>
      <c r="Q262">
        <v>153.5</v>
      </c>
      <c r="R262" t="s">
        <v>32</v>
      </c>
      <c r="S262" t="s">
        <v>32</v>
      </c>
      <c r="T262" t="s">
        <v>32</v>
      </c>
      <c r="U262" t="s">
        <v>32</v>
      </c>
      <c r="V262">
        <v>155.6</v>
      </c>
      <c r="W262">
        <v>137.1</v>
      </c>
      <c r="X262" t="s">
        <v>32</v>
      </c>
      <c r="Y262">
        <v>144.80000000000001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  <c r="AE262" t="s">
        <v>32</v>
      </c>
    </row>
    <row r="263" spans="2:31" x14ac:dyDescent="0.3">
      <c r="B263" t="s">
        <v>34</v>
      </c>
      <c r="C263">
        <v>2020</v>
      </c>
      <c r="D263" t="s">
        <v>37</v>
      </c>
      <c r="E263">
        <v>148.69999999999999</v>
      </c>
      <c r="F263" t="s">
        <v>32</v>
      </c>
      <c r="G263">
        <v>148.80000000000001</v>
      </c>
      <c r="H263">
        <v>155.6</v>
      </c>
      <c r="I263">
        <v>135.1</v>
      </c>
      <c r="J263">
        <v>149.9</v>
      </c>
      <c r="K263">
        <v>168.6</v>
      </c>
      <c r="L263">
        <v>150.4</v>
      </c>
      <c r="M263">
        <v>120.3</v>
      </c>
      <c r="N263">
        <v>157.1</v>
      </c>
      <c r="O263">
        <v>136.80000000000001</v>
      </c>
      <c r="P263" t="s">
        <v>32</v>
      </c>
      <c r="Q263">
        <v>151.4</v>
      </c>
      <c r="R263" t="s">
        <v>32</v>
      </c>
      <c r="S263" t="s">
        <v>32</v>
      </c>
      <c r="T263" t="s">
        <v>32</v>
      </c>
      <c r="U263" t="s">
        <v>32</v>
      </c>
      <c r="V263">
        <v>155.6</v>
      </c>
      <c r="W263">
        <v>144.1</v>
      </c>
      <c r="X263" t="s">
        <v>32</v>
      </c>
      <c r="Y263">
        <v>150.69999999999999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 t="s">
        <v>32</v>
      </c>
    </row>
    <row r="264" spans="2:31" x14ac:dyDescent="0.3">
      <c r="B264" t="s">
        <v>30</v>
      </c>
      <c r="C264">
        <v>2020</v>
      </c>
      <c r="D264" t="s">
        <v>38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 t="s">
        <v>32</v>
      </c>
    </row>
    <row r="265" spans="2:31" x14ac:dyDescent="0.3">
      <c r="B265" t="s">
        <v>33</v>
      </c>
      <c r="C265">
        <v>2020</v>
      </c>
      <c r="D265" t="s">
        <v>38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 t="s">
        <v>32</v>
      </c>
    </row>
    <row r="266" spans="2:31" x14ac:dyDescent="0.3">
      <c r="B266" t="s">
        <v>34</v>
      </c>
      <c r="C266">
        <v>2020</v>
      </c>
      <c r="D266" t="s">
        <v>38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 t="s">
        <v>32</v>
      </c>
    </row>
    <row r="267" spans="2:31" x14ac:dyDescent="0.3">
      <c r="B267" t="s">
        <v>30</v>
      </c>
      <c r="C267">
        <v>2020</v>
      </c>
      <c r="D267" t="s">
        <v>39</v>
      </c>
      <c r="E267">
        <v>148.19999999999999</v>
      </c>
      <c r="F267">
        <v>190.3</v>
      </c>
      <c r="G267">
        <v>149.4</v>
      </c>
      <c r="H267">
        <v>153.30000000000001</v>
      </c>
      <c r="I267">
        <v>138.19999999999999</v>
      </c>
      <c r="J267">
        <v>143.19999999999999</v>
      </c>
      <c r="K267">
        <v>148.9</v>
      </c>
      <c r="L267">
        <v>150.30000000000001</v>
      </c>
      <c r="M267">
        <v>113.2</v>
      </c>
      <c r="N267">
        <v>159.80000000000001</v>
      </c>
      <c r="O267">
        <v>142.1</v>
      </c>
      <c r="P267">
        <v>161.80000000000001</v>
      </c>
      <c r="Q267">
        <v>152.30000000000001</v>
      </c>
      <c r="R267">
        <v>182.4</v>
      </c>
      <c r="S267">
        <v>154.69999999999999</v>
      </c>
      <c r="T267">
        <v>150</v>
      </c>
      <c r="U267">
        <v>154.1</v>
      </c>
      <c r="V267" t="s">
        <v>32</v>
      </c>
      <c r="W267">
        <v>144.9</v>
      </c>
      <c r="X267">
        <v>151.69999999999999</v>
      </c>
      <c r="Y267">
        <v>158.19999999999999</v>
      </c>
      <c r="Z267">
        <v>141.4</v>
      </c>
      <c r="AA267">
        <v>153.19999999999999</v>
      </c>
      <c r="AB267">
        <v>161.80000000000001</v>
      </c>
      <c r="AC267">
        <v>151.19999999999999</v>
      </c>
      <c r="AD267">
        <v>151.69999999999999</v>
      </c>
      <c r="AE267">
        <v>152.69999999999999</v>
      </c>
    </row>
    <row r="268" spans="2:31" x14ac:dyDescent="0.3">
      <c r="B268" t="s">
        <v>33</v>
      </c>
      <c r="C268">
        <v>2020</v>
      </c>
      <c r="D268" t="s">
        <v>39</v>
      </c>
      <c r="E268">
        <v>152.69999999999999</v>
      </c>
      <c r="F268">
        <v>197</v>
      </c>
      <c r="G268">
        <v>154.6</v>
      </c>
      <c r="H268">
        <v>153.4</v>
      </c>
      <c r="I268">
        <v>132.9</v>
      </c>
      <c r="J268">
        <v>151.80000000000001</v>
      </c>
      <c r="K268">
        <v>171.2</v>
      </c>
      <c r="L268">
        <v>152</v>
      </c>
      <c r="M268">
        <v>116.3</v>
      </c>
      <c r="N268">
        <v>158.80000000000001</v>
      </c>
      <c r="O268">
        <v>135.6</v>
      </c>
      <c r="P268">
        <v>161.69999999999999</v>
      </c>
      <c r="Q268">
        <v>157</v>
      </c>
      <c r="R268">
        <v>186.7</v>
      </c>
      <c r="S268">
        <v>149.1</v>
      </c>
      <c r="T268">
        <v>136.6</v>
      </c>
      <c r="U268">
        <v>147.19999999999999</v>
      </c>
      <c r="V268">
        <v>154.69999999999999</v>
      </c>
      <c r="W268">
        <v>137.1</v>
      </c>
      <c r="X268">
        <v>140.4</v>
      </c>
      <c r="Y268">
        <v>148.1</v>
      </c>
      <c r="Z268">
        <v>129.30000000000001</v>
      </c>
      <c r="AA268">
        <v>144.5</v>
      </c>
      <c r="AB268">
        <v>152.5</v>
      </c>
      <c r="AC268">
        <v>152.19999999999999</v>
      </c>
      <c r="AD268">
        <v>142</v>
      </c>
      <c r="AE268">
        <v>150.80000000000001</v>
      </c>
    </row>
    <row r="269" spans="2:31" x14ac:dyDescent="0.3">
      <c r="B269" t="s">
        <v>34</v>
      </c>
      <c r="C269">
        <v>2020</v>
      </c>
      <c r="D269" t="s">
        <v>39</v>
      </c>
      <c r="E269">
        <v>149.6</v>
      </c>
      <c r="F269">
        <v>192.7</v>
      </c>
      <c r="G269">
        <v>151.4</v>
      </c>
      <c r="H269">
        <v>153.30000000000001</v>
      </c>
      <c r="I269">
        <v>136.30000000000001</v>
      </c>
      <c r="J269">
        <v>147.19999999999999</v>
      </c>
      <c r="K269">
        <v>156.5</v>
      </c>
      <c r="L269">
        <v>150.9</v>
      </c>
      <c r="M269">
        <v>114.2</v>
      </c>
      <c r="N269">
        <v>159.5</v>
      </c>
      <c r="O269">
        <v>139.4</v>
      </c>
      <c r="P269">
        <v>161.80000000000001</v>
      </c>
      <c r="Q269">
        <v>154</v>
      </c>
      <c r="R269">
        <v>183.5</v>
      </c>
      <c r="S269">
        <v>152.5</v>
      </c>
      <c r="T269">
        <v>144.4</v>
      </c>
      <c r="U269">
        <v>151.4</v>
      </c>
      <c r="V269">
        <v>154.69999999999999</v>
      </c>
      <c r="W269">
        <v>141.9</v>
      </c>
      <c r="X269">
        <v>146.4</v>
      </c>
      <c r="Y269">
        <v>154.4</v>
      </c>
      <c r="Z269">
        <v>135</v>
      </c>
      <c r="AA269">
        <v>148.30000000000001</v>
      </c>
      <c r="AB269">
        <v>156.4</v>
      </c>
      <c r="AC269">
        <v>151.6</v>
      </c>
      <c r="AD269">
        <v>147</v>
      </c>
      <c r="AE269">
        <v>151.80000000000001</v>
      </c>
    </row>
    <row r="270" spans="2:31" x14ac:dyDescent="0.3">
      <c r="B270" t="s">
        <v>30</v>
      </c>
      <c r="C270">
        <v>2020</v>
      </c>
      <c r="D270" t="s">
        <v>40</v>
      </c>
      <c r="E270">
        <v>148.19999999999999</v>
      </c>
      <c r="F270">
        <v>190.3</v>
      </c>
      <c r="G270">
        <v>149.4</v>
      </c>
      <c r="H270">
        <v>153.30000000000001</v>
      </c>
      <c r="I270">
        <v>138.19999999999999</v>
      </c>
      <c r="J270">
        <v>143.19999999999999</v>
      </c>
      <c r="K270">
        <v>148.9</v>
      </c>
      <c r="L270">
        <v>150.30000000000001</v>
      </c>
      <c r="M270">
        <v>113.2</v>
      </c>
      <c r="N270">
        <v>159.80000000000001</v>
      </c>
      <c r="O270">
        <v>142.1</v>
      </c>
      <c r="P270">
        <v>161.80000000000001</v>
      </c>
      <c r="Q270">
        <v>152.30000000000001</v>
      </c>
      <c r="R270">
        <v>182.4</v>
      </c>
      <c r="S270">
        <v>154.69999999999999</v>
      </c>
      <c r="T270">
        <v>150</v>
      </c>
      <c r="U270">
        <v>154.1</v>
      </c>
      <c r="V270" t="s">
        <v>32</v>
      </c>
      <c r="W270">
        <v>144.9</v>
      </c>
      <c r="X270">
        <v>151.69999999999999</v>
      </c>
      <c r="Y270">
        <v>158.19999999999999</v>
      </c>
      <c r="Z270">
        <v>141.4</v>
      </c>
      <c r="AA270">
        <v>153.19999999999999</v>
      </c>
      <c r="AB270">
        <v>161.80000000000001</v>
      </c>
      <c r="AC270">
        <v>151.19999999999999</v>
      </c>
      <c r="AD270">
        <v>151.69999999999999</v>
      </c>
      <c r="AE270">
        <v>152.69999999999999</v>
      </c>
    </row>
    <row r="271" spans="2:31" x14ac:dyDescent="0.3">
      <c r="B271" t="s">
        <v>33</v>
      </c>
      <c r="C271">
        <v>2020</v>
      </c>
      <c r="D271" t="s">
        <v>40</v>
      </c>
      <c r="E271">
        <v>152.69999999999999</v>
      </c>
      <c r="F271">
        <v>197</v>
      </c>
      <c r="G271">
        <v>154.6</v>
      </c>
      <c r="H271">
        <v>153.4</v>
      </c>
      <c r="I271">
        <v>132.9</v>
      </c>
      <c r="J271">
        <v>151.80000000000001</v>
      </c>
      <c r="K271">
        <v>171.2</v>
      </c>
      <c r="L271">
        <v>152</v>
      </c>
      <c r="M271">
        <v>116.3</v>
      </c>
      <c r="N271">
        <v>158.80000000000001</v>
      </c>
      <c r="O271">
        <v>135.6</v>
      </c>
      <c r="P271">
        <v>161.69999999999999</v>
      </c>
      <c r="Q271">
        <v>157</v>
      </c>
      <c r="R271">
        <v>186.7</v>
      </c>
      <c r="S271">
        <v>149.1</v>
      </c>
      <c r="T271">
        <v>136.6</v>
      </c>
      <c r="U271">
        <v>147.19999999999999</v>
      </c>
      <c r="V271">
        <v>154.69999999999999</v>
      </c>
      <c r="W271">
        <v>137.1</v>
      </c>
      <c r="X271">
        <v>140.4</v>
      </c>
      <c r="Y271">
        <v>148.1</v>
      </c>
      <c r="Z271">
        <v>129.30000000000001</v>
      </c>
      <c r="AA271">
        <v>144.5</v>
      </c>
      <c r="AB271">
        <v>152.5</v>
      </c>
      <c r="AC271">
        <v>152.19999999999999</v>
      </c>
      <c r="AD271">
        <v>142</v>
      </c>
      <c r="AE271">
        <v>150.80000000000001</v>
      </c>
    </row>
    <row r="272" spans="2:31" x14ac:dyDescent="0.3">
      <c r="B272" t="s">
        <v>34</v>
      </c>
      <c r="C272">
        <v>2020</v>
      </c>
      <c r="D272" t="s">
        <v>40</v>
      </c>
      <c r="E272">
        <v>149.6</v>
      </c>
      <c r="F272">
        <v>192.7</v>
      </c>
      <c r="G272">
        <v>151.4</v>
      </c>
      <c r="H272">
        <v>153.30000000000001</v>
      </c>
      <c r="I272">
        <v>136.30000000000001</v>
      </c>
      <c r="J272">
        <v>147.19999999999999</v>
      </c>
      <c r="K272">
        <v>156.5</v>
      </c>
      <c r="L272">
        <v>150.9</v>
      </c>
      <c r="M272">
        <v>114.2</v>
      </c>
      <c r="N272">
        <v>159.5</v>
      </c>
      <c r="O272">
        <v>139.4</v>
      </c>
      <c r="P272">
        <v>161.80000000000001</v>
      </c>
      <c r="Q272">
        <v>154</v>
      </c>
      <c r="R272">
        <v>183.5</v>
      </c>
      <c r="S272">
        <v>152.5</v>
      </c>
      <c r="T272">
        <v>144.4</v>
      </c>
      <c r="U272">
        <v>151.4</v>
      </c>
      <c r="V272">
        <v>154.69999999999999</v>
      </c>
      <c r="W272">
        <v>141.9</v>
      </c>
      <c r="X272">
        <v>146.4</v>
      </c>
      <c r="Y272">
        <v>154.4</v>
      </c>
      <c r="Z272">
        <v>135</v>
      </c>
      <c r="AA272">
        <v>148.30000000000001</v>
      </c>
      <c r="AB272">
        <v>156.4</v>
      </c>
      <c r="AC272">
        <v>151.6</v>
      </c>
      <c r="AD272">
        <v>147</v>
      </c>
      <c r="AE272">
        <v>151.80000000000001</v>
      </c>
    </row>
    <row r="273" spans="2:31" x14ac:dyDescent="0.3">
      <c r="B273" t="s">
        <v>30</v>
      </c>
      <c r="C273">
        <v>2020</v>
      </c>
      <c r="D273" t="s">
        <v>41</v>
      </c>
      <c r="E273">
        <v>147.6</v>
      </c>
      <c r="F273">
        <v>187.2</v>
      </c>
      <c r="G273">
        <v>148.4</v>
      </c>
      <c r="H273">
        <v>153.30000000000001</v>
      </c>
      <c r="I273">
        <v>139.80000000000001</v>
      </c>
      <c r="J273">
        <v>146.9</v>
      </c>
      <c r="K273">
        <v>171</v>
      </c>
      <c r="L273">
        <v>149.9</v>
      </c>
      <c r="M273">
        <v>114.2</v>
      </c>
      <c r="N273">
        <v>160</v>
      </c>
      <c r="O273">
        <v>143.5</v>
      </c>
      <c r="P273">
        <v>161.5</v>
      </c>
      <c r="Q273">
        <v>155.30000000000001</v>
      </c>
      <c r="R273">
        <v>180.9</v>
      </c>
      <c r="S273">
        <v>155.1</v>
      </c>
      <c r="T273">
        <v>149.30000000000001</v>
      </c>
      <c r="U273">
        <v>154.30000000000001</v>
      </c>
      <c r="V273" t="s">
        <v>32</v>
      </c>
      <c r="W273">
        <v>145.80000000000001</v>
      </c>
      <c r="X273">
        <v>151.9</v>
      </c>
      <c r="Y273">
        <v>158.80000000000001</v>
      </c>
      <c r="Z273">
        <v>143.6</v>
      </c>
      <c r="AA273">
        <v>152.19999999999999</v>
      </c>
      <c r="AB273">
        <v>162.69999999999999</v>
      </c>
      <c r="AC273">
        <v>153.6</v>
      </c>
      <c r="AD273">
        <v>153</v>
      </c>
      <c r="AE273">
        <v>154.69999999999999</v>
      </c>
    </row>
    <row r="274" spans="2:31" x14ac:dyDescent="0.3">
      <c r="B274" t="s">
        <v>33</v>
      </c>
      <c r="C274">
        <v>2020</v>
      </c>
      <c r="D274" t="s">
        <v>41</v>
      </c>
      <c r="E274">
        <v>151.6</v>
      </c>
      <c r="F274">
        <v>197.8</v>
      </c>
      <c r="G274">
        <v>154.5</v>
      </c>
      <c r="H274">
        <v>153.4</v>
      </c>
      <c r="I274">
        <v>133.4</v>
      </c>
      <c r="J274">
        <v>154.5</v>
      </c>
      <c r="K274">
        <v>191.9</v>
      </c>
      <c r="L274">
        <v>151.30000000000001</v>
      </c>
      <c r="M274">
        <v>116.8</v>
      </c>
      <c r="N274">
        <v>160</v>
      </c>
      <c r="O274">
        <v>136.5</v>
      </c>
      <c r="P274">
        <v>163.30000000000001</v>
      </c>
      <c r="Q274">
        <v>159.9</v>
      </c>
      <c r="R274">
        <v>187.2</v>
      </c>
      <c r="S274">
        <v>150</v>
      </c>
      <c r="T274">
        <v>135.19999999999999</v>
      </c>
      <c r="U274">
        <v>147.80000000000001</v>
      </c>
      <c r="V274">
        <v>155.5</v>
      </c>
      <c r="W274">
        <v>138.30000000000001</v>
      </c>
      <c r="X274">
        <v>144.5</v>
      </c>
      <c r="Y274">
        <v>148.69999999999999</v>
      </c>
      <c r="Z274">
        <v>133.9</v>
      </c>
      <c r="AA274">
        <v>141.19999999999999</v>
      </c>
      <c r="AB274">
        <v>155.5</v>
      </c>
      <c r="AC274">
        <v>155.19999999999999</v>
      </c>
      <c r="AD274">
        <v>144.80000000000001</v>
      </c>
      <c r="AE274">
        <v>152.9</v>
      </c>
    </row>
    <row r="275" spans="2:31" x14ac:dyDescent="0.3">
      <c r="B275" t="s">
        <v>34</v>
      </c>
      <c r="C275">
        <v>2020</v>
      </c>
      <c r="D275" t="s">
        <v>41</v>
      </c>
      <c r="E275">
        <v>148.9</v>
      </c>
      <c r="F275">
        <v>190.9</v>
      </c>
      <c r="G275">
        <v>150.80000000000001</v>
      </c>
      <c r="H275">
        <v>153.30000000000001</v>
      </c>
      <c r="I275">
        <v>137.4</v>
      </c>
      <c r="J275">
        <v>150.4</v>
      </c>
      <c r="K275">
        <v>178.1</v>
      </c>
      <c r="L275">
        <v>150.4</v>
      </c>
      <c r="M275">
        <v>115.1</v>
      </c>
      <c r="N275">
        <v>160</v>
      </c>
      <c r="O275">
        <v>140.6</v>
      </c>
      <c r="P275">
        <v>162.30000000000001</v>
      </c>
      <c r="Q275">
        <v>157</v>
      </c>
      <c r="R275">
        <v>182.6</v>
      </c>
      <c r="S275">
        <v>153.1</v>
      </c>
      <c r="T275">
        <v>143.4</v>
      </c>
      <c r="U275">
        <v>151.69999999999999</v>
      </c>
      <c r="V275">
        <v>155.5</v>
      </c>
      <c r="W275">
        <v>143</v>
      </c>
      <c r="X275">
        <v>148.4</v>
      </c>
      <c r="Y275">
        <v>155</v>
      </c>
      <c r="Z275">
        <v>138.5</v>
      </c>
      <c r="AA275">
        <v>146</v>
      </c>
      <c r="AB275">
        <v>158.5</v>
      </c>
      <c r="AC275">
        <v>154.30000000000001</v>
      </c>
      <c r="AD275">
        <v>149</v>
      </c>
      <c r="AE275">
        <v>153.9</v>
      </c>
    </row>
    <row r="276" spans="2:31" x14ac:dyDescent="0.3">
      <c r="B276" t="s">
        <v>30</v>
      </c>
      <c r="C276">
        <v>2020</v>
      </c>
      <c r="D276" t="s">
        <v>42</v>
      </c>
      <c r="E276">
        <v>146.9</v>
      </c>
      <c r="F276">
        <v>183.9</v>
      </c>
      <c r="G276">
        <v>149.5</v>
      </c>
      <c r="H276">
        <v>153.4</v>
      </c>
      <c r="I276">
        <v>140.4</v>
      </c>
      <c r="J276">
        <v>147</v>
      </c>
      <c r="K276">
        <v>178.8</v>
      </c>
      <c r="L276">
        <v>149.30000000000001</v>
      </c>
      <c r="M276">
        <v>115.1</v>
      </c>
      <c r="N276">
        <v>160</v>
      </c>
      <c r="O276">
        <v>145.4</v>
      </c>
      <c r="P276">
        <v>161.6</v>
      </c>
      <c r="Q276">
        <v>156.1</v>
      </c>
      <c r="R276">
        <v>182.9</v>
      </c>
      <c r="S276">
        <v>155.4</v>
      </c>
      <c r="T276">
        <v>149.9</v>
      </c>
      <c r="U276">
        <v>154.6</v>
      </c>
      <c r="V276" t="s">
        <v>32</v>
      </c>
      <c r="W276">
        <v>146.4</v>
      </c>
      <c r="X276">
        <v>151.6</v>
      </c>
      <c r="Y276">
        <v>159.1</v>
      </c>
      <c r="Z276">
        <v>144.6</v>
      </c>
      <c r="AA276">
        <v>152.80000000000001</v>
      </c>
      <c r="AB276">
        <v>161.1</v>
      </c>
      <c r="AC276">
        <v>157.4</v>
      </c>
      <c r="AD276">
        <v>153.69999999999999</v>
      </c>
      <c r="AE276">
        <v>155.4</v>
      </c>
    </row>
    <row r="277" spans="2:31" x14ac:dyDescent="0.3">
      <c r="B277" t="s">
        <v>33</v>
      </c>
      <c r="C277">
        <v>2020</v>
      </c>
      <c r="D277" t="s">
        <v>42</v>
      </c>
      <c r="E277">
        <v>151.5</v>
      </c>
      <c r="F277">
        <v>193.1</v>
      </c>
      <c r="G277">
        <v>157.30000000000001</v>
      </c>
      <c r="H277">
        <v>153.9</v>
      </c>
      <c r="I277">
        <v>134.4</v>
      </c>
      <c r="J277">
        <v>155.4</v>
      </c>
      <c r="K277">
        <v>202</v>
      </c>
      <c r="L277">
        <v>150.80000000000001</v>
      </c>
      <c r="M277">
        <v>118.9</v>
      </c>
      <c r="N277">
        <v>160.9</v>
      </c>
      <c r="O277">
        <v>137.69999999999999</v>
      </c>
      <c r="P277">
        <v>164.4</v>
      </c>
      <c r="Q277">
        <v>161.30000000000001</v>
      </c>
      <c r="R277">
        <v>188.7</v>
      </c>
      <c r="S277">
        <v>150.19999999999999</v>
      </c>
      <c r="T277">
        <v>136.30000000000001</v>
      </c>
      <c r="U277">
        <v>148.1</v>
      </c>
      <c r="V277">
        <v>156.30000000000001</v>
      </c>
      <c r="W277">
        <v>137.19999999999999</v>
      </c>
      <c r="X277">
        <v>145.4</v>
      </c>
      <c r="Y277">
        <v>150</v>
      </c>
      <c r="Z277">
        <v>135.1</v>
      </c>
      <c r="AA277">
        <v>141.80000000000001</v>
      </c>
      <c r="AB277">
        <v>154.9</v>
      </c>
      <c r="AC277">
        <v>159.80000000000001</v>
      </c>
      <c r="AD277">
        <v>146</v>
      </c>
      <c r="AE277">
        <v>154</v>
      </c>
    </row>
    <row r="278" spans="2:31" x14ac:dyDescent="0.3">
      <c r="B278" t="s">
        <v>34</v>
      </c>
      <c r="C278">
        <v>2020</v>
      </c>
      <c r="D278" t="s">
        <v>42</v>
      </c>
      <c r="E278">
        <v>148.4</v>
      </c>
      <c r="F278">
        <v>187.1</v>
      </c>
      <c r="G278">
        <v>152.5</v>
      </c>
      <c r="H278">
        <v>153.6</v>
      </c>
      <c r="I278">
        <v>138.19999999999999</v>
      </c>
      <c r="J278">
        <v>150.9</v>
      </c>
      <c r="K278">
        <v>186.7</v>
      </c>
      <c r="L278">
        <v>149.80000000000001</v>
      </c>
      <c r="M278">
        <v>116.4</v>
      </c>
      <c r="N278">
        <v>160.30000000000001</v>
      </c>
      <c r="O278">
        <v>142.19999999999999</v>
      </c>
      <c r="P278">
        <v>162.9</v>
      </c>
      <c r="Q278">
        <v>158</v>
      </c>
      <c r="R278">
        <v>184.4</v>
      </c>
      <c r="S278">
        <v>153.4</v>
      </c>
      <c r="T278">
        <v>144.30000000000001</v>
      </c>
      <c r="U278">
        <v>152</v>
      </c>
      <c r="V278">
        <v>156.30000000000001</v>
      </c>
      <c r="W278">
        <v>142.9</v>
      </c>
      <c r="X278">
        <v>148.69999999999999</v>
      </c>
      <c r="Y278">
        <v>155.6</v>
      </c>
      <c r="Z278">
        <v>139.6</v>
      </c>
      <c r="AA278">
        <v>146.6</v>
      </c>
      <c r="AB278">
        <v>157.5</v>
      </c>
      <c r="AC278">
        <v>158.4</v>
      </c>
      <c r="AD278">
        <v>150</v>
      </c>
      <c r="AE278">
        <v>154.69999999999999</v>
      </c>
    </row>
    <row r="279" spans="2:31" x14ac:dyDescent="0.3">
      <c r="B279" t="s">
        <v>30</v>
      </c>
      <c r="C279">
        <v>2020</v>
      </c>
      <c r="D279" t="s">
        <v>43</v>
      </c>
      <c r="E279">
        <v>146</v>
      </c>
      <c r="F279">
        <v>186.3</v>
      </c>
      <c r="G279">
        <v>159.19999999999999</v>
      </c>
      <c r="H279">
        <v>153.6</v>
      </c>
      <c r="I279">
        <v>142.6</v>
      </c>
      <c r="J279">
        <v>147.19999999999999</v>
      </c>
      <c r="K279">
        <v>200.6</v>
      </c>
      <c r="L279">
        <v>150.30000000000001</v>
      </c>
      <c r="M279">
        <v>115.3</v>
      </c>
      <c r="N279">
        <v>160.9</v>
      </c>
      <c r="O279">
        <v>147.4</v>
      </c>
      <c r="P279">
        <v>161.9</v>
      </c>
      <c r="Q279">
        <v>159.6</v>
      </c>
      <c r="R279">
        <v>182.7</v>
      </c>
      <c r="S279">
        <v>155.69999999999999</v>
      </c>
      <c r="T279">
        <v>150.6</v>
      </c>
      <c r="U279">
        <v>155</v>
      </c>
      <c r="V279" t="s">
        <v>32</v>
      </c>
      <c r="W279">
        <v>146.80000000000001</v>
      </c>
      <c r="X279">
        <v>152</v>
      </c>
      <c r="Y279">
        <v>159.5</v>
      </c>
      <c r="Z279">
        <v>146.4</v>
      </c>
      <c r="AA279">
        <v>152.4</v>
      </c>
      <c r="AB279">
        <v>162.5</v>
      </c>
      <c r="AC279">
        <v>156.19999999999999</v>
      </c>
      <c r="AD279">
        <v>154.30000000000001</v>
      </c>
      <c r="AE279">
        <v>157.5</v>
      </c>
    </row>
    <row r="280" spans="2:31" x14ac:dyDescent="0.3">
      <c r="B280" t="s">
        <v>33</v>
      </c>
      <c r="C280">
        <v>2020</v>
      </c>
      <c r="D280" t="s">
        <v>43</v>
      </c>
      <c r="E280">
        <v>150.6</v>
      </c>
      <c r="F280">
        <v>193.7</v>
      </c>
      <c r="G280">
        <v>164.8</v>
      </c>
      <c r="H280">
        <v>153.69999999999999</v>
      </c>
      <c r="I280">
        <v>135.69999999999999</v>
      </c>
      <c r="J280">
        <v>155.69999999999999</v>
      </c>
      <c r="K280">
        <v>226</v>
      </c>
      <c r="L280">
        <v>152.19999999999999</v>
      </c>
      <c r="M280">
        <v>118.1</v>
      </c>
      <c r="N280">
        <v>161.30000000000001</v>
      </c>
      <c r="O280">
        <v>139.19999999999999</v>
      </c>
      <c r="P280">
        <v>164.8</v>
      </c>
      <c r="Q280">
        <v>164.4</v>
      </c>
      <c r="R280">
        <v>188.7</v>
      </c>
      <c r="S280">
        <v>150.5</v>
      </c>
      <c r="T280">
        <v>136.1</v>
      </c>
      <c r="U280">
        <v>148.30000000000001</v>
      </c>
      <c r="V280">
        <v>156.5</v>
      </c>
      <c r="W280">
        <v>137.1</v>
      </c>
      <c r="X280">
        <v>145.1</v>
      </c>
      <c r="Y280">
        <v>151</v>
      </c>
      <c r="Z280">
        <v>135.4</v>
      </c>
      <c r="AA280">
        <v>142</v>
      </c>
      <c r="AB280">
        <v>155.69999999999999</v>
      </c>
      <c r="AC280">
        <v>158.1</v>
      </c>
      <c r="AD280">
        <v>146.19999999999999</v>
      </c>
      <c r="AE280">
        <v>155.19999999999999</v>
      </c>
    </row>
    <row r="281" spans="2:31" x14ac:dyDescent="0.3">
      <c r="B281" t="s">
        <v>34</v>
      </c>
      <c r="C281">
        <v>2020</v>
      </c>
      <c r="D281" t="s">
        <v>43</v>
      </c>
      <c r="E281">
        <v>147.5</v>
      </c>
      <c r="F281">
        <v>188.9</v>
      </c>
      <c r="G281">
        <v>161.4</v>
      </c>
      <c r="H281">
        <v>153.6</v>
      </c>
      <c r="I281">
        <v>140.1</v>
      </c>
      <c r="J281">
        <v>151.19999999999999</v>
      </c>
      <c r="K281">
        <v>209.2</v>
      </c>
      <c r="L281">
        <v>150.9</v>
      </c>
      <c r="M281">
        <v>116.2</v>
      </c>
      <c r="N281">
        <v>161</v>
      </c>
      <c r="O281">
        <v>144</v>
      </c>
      <c r="P281">
        <v>163.19999999999999</v>
      </c>
      <c r="Q281">
        <v>161.4</v>
      </c>
      <c r="R281">
        <v>184.3</v>
      </c>
      <c r="S281">
        <v>153.69999999999999</v>
      </c>
      <c r="T281">
        <v>144.6</v>
      </c>
      <c r="U281">
        <v>152.30000000000001</v>
      </c>
      <c r="V281">
        <v>156.5</v>
      </c>
      <c r="W281">
        <v>143.1</v>
      </c>
      <c r="X281">
        <v>148.69999999999999</v>
      </c>
      <c r="Y281">
        <v>156.30000000000001</v>
      </c>
      <c r="Z281">
        <v>140.6</v>
      </c>
      <c r="AA281">
        <v>146.5</v>
      </c>
      <c r="AB281">
        <v>158.5</v>
      </c>
      <c r="AC281">
        <v>157</v>
      </c>
      <c r="AD281">
        <v>150.4</v>
      </c>
      <c r="AE281">
        <v>156.4</v>
      </c>
    </row>
    <row r="282" spans="2:31" x14ac:dyDescent="0.3">
      <c r="B282" t="s">
        <v>30</v>
      </c>
      <c r="C282">
        <v>2020</v>
      </c>
      <c r="D282" t="s">
        <v>45</v>
      </c>
      <c r="E282">
        <v>145.4</v>
      </c>
      <c r="F282">
        <v>188.6</v>
      </c>
      <c r="G282">
        <v>171.6</v>
      </c>
      <c r="H282">
        <v>153.80000000000001</v>
      </c>
      <c r="I282">
        <v>145.4</v>
      </c>
      <c r="J282">
        <v>146.5</v>
      </c>
      <c r="K282">
        <v>222.2</v>
      </c>
      <c r="L282">
        <v>155.9</v>
      </c>
      <c r="M282">
        <v>114.9</v>
      </c>
      <c r="N282">
        <v>162</v>
      </c>
      <c r="O282">
        <v>150</v>
      </c>
      <c r="P282">
        <v>162.69999999999999</v>
      </c>
      <c r="Q282">
        <v>163.4</v>
      </c>
      <c r="R282">
        <v>183.4</v>
      </c>
      <c r="S282">
        <v>156.30000000000001</v>
      </c>
      <c r="T282">
        <v>151</v>
      </c>
      <c r="U282">
        <v>155.5</v>
      </c>
      <c r="V282" t="s">
        <v>32</v>
      </c>
      <c r="W282">
        <v>147.5</v>
      </c>
      <c r="X282">
        <v>152.80000000000001</v>
      </c>
      <c r="Y282">
        <v>160.4</v>
      </c>
      <c r="Z282">
        <v>146.1</v>
      </c>
      <c r="AA282">
        <v>153.6</v>
      </c>
      <c r="AB282">
        <v>161.6</v>
      </c>
      <c r="AC282">
        <v>156.19999999999999</v>
      </c>
      <c r="AD282">
        <v>154.5</v>
      </c>
      <c r="AE282">
        <v>159.80000000000001</v>
      </c>
    </row>
    <row r="283" spans="2:31" x14ac:dyDescent="0.3">
      <c r="B283" t="s">
        <v>33</v>
      </c>
      <c r="C283">
        <v>2020</v>
      </c>
      <c r="D283" t="s">
        <v>45</v>
      </c>
      <c r="E283">
        <v>149.69999999999999</v>
      </c>
      <c r="F283">
        <v>195.5</v>
      </c>
      <c r="G283">
        <v>176.9</v>
      </c>
      <c r="H283">
        <v>153.9</v>
      </c>
      <c r="I283">
        <v>138</v>
      </c>
      <c r="J283">
        <v>150.5</v>
      </c>
      <c r="K283">
        <v>245.3</v>
      </c>
      <c r="L283">
        <v>158.69999999999999</v>
      </c>
      <c r="M283">
        <v>117.2</v>
      </c>
      <c r="N283">
        <v>161.4</v>
      </c>
      <c r="O283">
        <v>141.5</v>
      </c>
      <c r="P283">
        <v>165.1</v>
      </c>
      <c r="Q283">
        <v>167</v>
      </c>
      <c r="R283">
        <v>188.8</v>
      </c>
      <c r="S283">
        <v>151.1</v>
      </c>
      <c r="T283">
        <v>136.4</v>
      </c>
      <c r="U283">
        <v>148.80000000000001</v>
      </c>
      <c r="V283">
        <v>158</v>
      </c>
      <c r="W283">
        <v>137.30000000000001</v>
      </c>
      <c r="X283">
        <v>145.1</v>
      </c>
      <c r="Y283">
        <v>152</v>
      </c>
      <c r="Z283">
        <v>135.19999999999999</v>
      </c>
      <c r="AA283">
        <v>144.4</v>
      </c>
      <c r="AB283">
        <v>156.4</v>
      </c>
      <c r="AC283">
        <v>157.9</v>
      </c>
      <c r="AD283">
        <v>146.6</v>
      </c>
      <c r="AE283">
        <v>156.69999999999999</v>
      </c>
    </row>
    <row r="284" spans="2:31" x14ac:dyDescent="0.3">
      <c r="B284" t="s">
        <v>34</v>
      </c>
      <c r="C284">
        <v>2020</v>
      </c>
      <c r="D284" t="s">
        <v>45</v>
      </c>
      <c r="E284">
        <v>146.80000000000001</v>
      </c>
      <c r="F284">
        <v>191</v>
      </c>
      <c r="G284">
        <v>173.6</v>
      </c>
      <c r="H284">
        <v>153.80000000000001</v>
      </c>
      <c r="I284">
        <v>142.69999999999999</v>
      </c>
      <c r="J284">
        <v>148.4</v>
      </c>
      <c r="K284">
        <v>230</v>
      </c>
      <c r="L284">
        <v>156.80000000000001</v>
      </c>
      <c r="M284">
        <v>115.7</v>
      </c>
      <c r="N284">
        <v>161.80000000000001</v>
      </c>
      <c r="O284">
        <v>146.5</v>
      </c>
      <c r="P284">
        <v>163.80000000000001</v>
      </c>
      <c r="Q284">
        <v>164.7</v>
      </c>
      <c r="R284">
        <v>184.8</v>
      </c>
      <c r="S284">
        <v>154.30000000000001</v>
      </c>
      <c r="T284">
        <v>144.9</v>
      </c>
      <c r="U284">
        <v>152.80000000000001</v>
      </c>
      <c r="V284">
        <v>158</v>
      </c>
      <c r="W284">
        <v>143.6</v>
      </c>
      <c r="X284">
        <v>149.19999999999999</v>
      </c>
      <c r="Y284">
        <v>157.19999999999999</v>
      </c>
      <c r="Z284">
        <v>140.4</v>
      </c>
      <c r="AA284">
        <v>148.4</v>
      </c>
      <c r="AB284">
        <v>158.6</v>
      </c>
      <c r="AC284">
        <v>156.9</v>
      </c>
      <c r="AD284">
        <v>150.69999999999999</v>
      </c>
      <c r="AE284">
        <v>158.4</v>
      </c>
    </row>
    <row r="285" spans="2:31" x14ac:dyDescent="0.3">
      <c r="B285" t="s">
        <v>30</v>
      </c>
      <c r="C285">
        <v>2020</v>
      </c>
      <c r="D285" t="s">
        <v>46</v>
      </c>
      <c r="E285">
        <v>144.6</v>
      </c>
      <c r="F285">
        <v>188.5</v>
      </c>
      <c r="G285">
        <v>173.4</v>
      </c>
      <c r="H285">
        <v>154</v>
      </c>
      <c r="I285">
        <v>150</v>
      </c>
      <c r="J285">
        <v>145.9</v>
      </c>
      <c r="K285">
        <v>225.2</v>
      </c>
      <c r="L285">
        <v>159.5</v>
      </c>
      <c r="M285">
        <v>114.4</v>
      </c>
      <c r="N285">
        <v>163.5</v>
      </c>
      <c r="O285">
        <v>153.4</v>
      </c>
      <c r="P285">
        <v>163.6</v>
      </c>
      <c r="Q285">
        <v>164.5</v>
      </c>
      <c r="R285">
        <v>183.6</v>
      </c>
      <c r="S285">
        <v>157</v>
      </c>
      <c r="T285">
        <v>151.6</v>
      </c>
      <c r="U285">
        <v>156.30000000000001</v>
      </c>
      <c r="V285" t="s">
        <v>32</v>
      </c>
      <c r="W285">
        <v>148.69999999999999</v>
      </c>
      <c r="X285">
        <v>153.4</v>
      </c>
      <c r="Y285">
        <v>161.6</v>
      </c>
      <c r="Z285">
        <v>146.4</v>
      </c>
      <c r="AA285">
        <v>153.9</v>
      </c>
      <c r="AB285">
        <v>162.9</v>
      </c>
      <c r="AC285">
        <v>156.6</v>
      </c>
      <c r="AD285">
        <v>155.19999999999999</v>
      </c>
      <c r="AE285">
        <v>160.69999999999999</v>
      </c>
    </row>
    <row r="286" spans="2:31" x14ac:dyDescent="0.3">
      <c r="B286" t="s">
        <v>33</v>
      </c>
      <c r="C286">
        <v>2020</v>
      </c>
      <c r="D286" t="s">
        <v>46</v>
      </c>
      <c r="E286">
        <v>149</v>
      </c>
      <c r="F286">
        <v>195.7</v>
      </c>
      <c r="G286">
        <v>178.3</v>
      </c>
      <c r="H286">
        <v>154.19999999999999</v>
      </c>
      <c r="I286">
        <v>140.69999999999999</v>
      </c>
      <c r="J286">
        <v>149.69999999999999</v>
      </c>
      <c r="K286">
        <v>240.9</v>
      </c>
      <c r="L286">
        <v>161.5</v>
      </c>
      <c r="M286">
        <v>117.1</v>
      </c>
      <c r="N286">
        <v>161.9</v>
      </c>
      <c r="O286">
        <v>143.30000000000001</v>
      </c>
      <c r="P286">
        <v>166.1</v>
      </c>
      <c r="Q286">
        <v>167</v>
      </c>
      <c r="R286">
        <v>190.2</v>
      </c>
      <c r="S286">
        <v>151.9</v>
      </c>
      <c r="T286">
        <v>136.69999999999999</v>
      </c>
      <c r="U286">
        <v>149.6</v>
      </c>
      <c r="V286">
        <v>158.4</v>
      </c>
      <c r="W286">
        <v>137.9</v>
      </c>
      <c r="X286">
        <v>145.5</v>
      </c>
      <c r="Y286">
        <v>152.9</v>
      </c>
      <c r="Z286">
        <v>135.5</v>
      </c>
      <c r="AA286">
        <v>144.30000000000001</v>
      </c>
      <c r="AB286">
        <v>156.9</v>
      </c>
      <c r="AC286">
        <v>157.9</v>
      </c>
      <c r="AD286">
        <v>146.9</v>
      </c>
      <c r="AE286">
        <v>156.9</v>
      </c>
    </row>
    <row r="287" spans="2:31" x14ac:dyDescent="0.3">
      <c r="B287" t="s">
        <v>34</v>
      </c>
      <c r="C287">
        <v>2020</v>
      </c>
      <c r="D287" t="s">
        <v>46</v>
      </c>
      <c r="E287">
        <v>146</v>
      </c>
      <c r="F287">
        <v>191</v>
      </c>
      <c r="G287">
        <v>175.3</v>
      </c>
      <c r="H287">
        <v>154.1</v>
      </c>
      <c r="I287">
        <v>146.6</v>
      </c>
      <c r="J287">
        <v>147.69999999999999</v>
      </c>
      <c r="K287">
        <v>230.5</v>
      </c>
      <c r="L287">
        <v>160.19999999999999</v>
      </c>
      <c r="M287">
        <v>115.3</v>
      </c>
      <c r="N287">
        <v>163</v>
      </c>
      <c r="O287">
        <v>149.19999999999999</v>
      </c>
      <c r="P287">
        <v>164.8</v>
      </c>
      <c r="Q287">
        <v>165.4</v>
      </c>
      <c r="R287">
        <v>185.4</v>
      </c>
      <c r="S287">
        <v>155</v>
      </c>
      <c r="T287">
        <v>145.4</v>
      </c>
      <c r="U287">
        <v>153.6</v>
      </c>
      <c r="V287">
        <v>158.4</v>
      </c>
      <c r="W287">
        <v>144.6</v>
      </c>
      <c r="X287">
        <v>149.69999999999999</v>
      </c>
      <c r="Y287">
        <v>158.30000000000001</v>
      </c>
      <c r="Z287">
        <v>140.69999999999999</v>
      </c>
      <c r="AA287">
        <v>148.5</v>
      </c>
      <c r="AB287">
        <v>159.4</v>
      </c>
      <c r="AC287">
        <v>157.1</v>
      </c>
      <c r="AD287">
        <v>151.19999999999999</v>
      </c>
      <c r="AE287">
        <v>158.9</v>
      </c>
    </row>
    <row r="288" spans="2:31" x14ac:dyDescent="0.3">
      <c r="B288" t="s">
        <v>30</v>
      </c>
      <c r="C288">
        <v>2021</v>
      </c>
      <c r="D288" t="s">
        <v>31</v>
      </c>
      <c r="E288">
        <v>143.4</v>
      </c>
      <c r="F288">
        <v>187.5</v>
      </c>
      <c r="G288">
        <v>173.4</v>
      </c>
      <c r="H288">
        <v>154</v>
      </c>
      <c r="I288">
        <v>154.80000000000001</v>
      </c>
      <c r="J288">
        <v>147</v>
      </c>
      <c r="K288">
        <v>187.8</v>
      </c>
      <c r="L288">
        <v>159.5</v>
      </c>
      <c r="M288">
        <v>113.8</v>
      </c>
      <c r="N288">
        <v>164.5</v>
      </c>
      <c r="O288">
        <v>156.1</v>
      </c>
      <c r="P288">
        <v>164.3</v>
      </c>
      <c r="Q288">
        <v>159.6</v>
      </c>
      <c r="R288">
        <v>184.6</v>
      </c>
      <c r="S288">
        <v>157.5</v>
      </c>
      <c r="T288">
        <v>152.4</v>
      </c>
      <c r="U288">
        <v>156.80000000000001</v>
      </c>
      <c r="V288" t="s">
        <v>32</v>
      </c>
      <c r="W288">
        <v>150.9</v>
      </c>
      <c r="X288">
        <v>153.9</v>
      </c>
      <c r="Y288">
        <v>162.5</v>
      </c>
      <c r="Z288">
        <v>147.5</v>
      </c>
      <c r="AA288">
        <v>155.1</v>
      </c>
      <c r="AB288">
        <v>163.5</v>
      </c>
      <c r="AC288">
        <v>156.19999999999999</v>
      </c>
      <c r="AD288">
        <v>155.9</v>
      </c>
      <c r="AE288">
        <v>158.5</v>
      </c>
    </row>
    <row r="289" spans="2:31" x14ac:dyDescent="0.3">
      <c r="B289" t="s">
        <v>33</v>
      </c>
      <c r="C289">
        <v>2021</v>
      </c>
      <c r="D289" t="s">
        <v>31</v>
      </c>
      <c r="E289">
        <v>148</v>
      </c>
      <c r="F289">
        <v>194.8</v>
      </c>
      <c r="G289">
        <v>178.4</v>
      </c>
      <c r="H289">
        <v>154.4</v>
      </c>
      <c r="I289">
        <v>144.1</v>
      </c>
      <c r="J289">
        <v>152.6</v>
      </c>
      <c r="K289">
        <v>206.8</v>
      </c>
      <c r="L289">
        <v>162.1</v>
      </c>
      <c r="M289">
        <v>116.3</v>
      </c>
      <c r="N289">
        <v>163</v>
      </c>
      <c r="O289">
        <v>145.9</v>
      </c>
      <c r="P289">
        <v>167.2</v>
      </c>
      <c r="Q289">
        <v>163.4</v>
      </c>
      <c r="R289">
        <v>191.8</v>
      </c>
      <c r="S289">
        <v>152.5</v>
      </c>
      <c r="T289">
        <v>137.30000000000001</v>
      </c>
      <c r="U289">
        <v>150.19999999999999</v>
      </c>
      <c r="V289">
        <v>157.69999999999999</v>
      </c>
      <c r="W289">
        <v>142.9</v>
      </c>
      <c r="X289">
        <v>145.69999999999999</v>
      </c>
      <c r="Y289">
        <v>154.1</v>
      </c>
      <c r="Z289">
        <v>136.9</v>
      </c>
      <c r="AA289">
        <v>145.4</v>
      </c>
      <c r="AB289">
        <v>156.1</v>
      </c>
      <c r="AC289">
        <v>157.69999999999999</v>
      </c>
      <c r="AD289">
        <v>147.6</v>
      </c>
      <c r="AE289">
        <v>156</v>
      </c>
    </row>
    <row r="290" spans="2:31" x14ac:dyDescent="0.3">
      <c r="B290" t="s">
        <v>34</v>
      </c>
      <c r="C290">
        <v>2021</v>
      </c>
      <c r="D290" t="s">
        <v>31</v>
      </c>
      <c r="E290">
        <v>144.9</v>
      </c>
      <c r="F290">
        <v>190.1</v>
      </c>
      <c r="G290">
        <v>175.3</v>
      </c>
      <c r="H290">
        <v>154.1</v>
      </c>
      <c r="I290">
        <v>150.9</v>
      </c>
      <c r="J290">
        <v>149.6</v>
      </c>
      <c r="K290">
        <v>194.2</v>
      </c>
      <c r="L290">
        <v>160.4</v>
      </c>
      <c r="M290">
        <v>114.6</v>
      </c>
      <c r="N290">
        <v>164</v>
      </c>
      <c r="O290">
        <v>151.80000000000001</v>
      </c>
      <c r="P290">
        <v>165.6</v>
      </c>
      <c r="Q290">
        <v>161</v>
      </c>
      <c r="R290">
        <v>186.5</v>
      </c>
      <c r="S290">
        <v>155.5</v>
      </c>
      <c r="T290">
        <v>146.1</v>
      </c>
      <c r="U290">
        <v>154.19999999999999</v>
      </c>
      <c r="V290">
        <v>157.69999999999999</v>
      </c>
      <c r="W290">
        <v>147.9</v>
      </c>
      <c r="X290">
        <v>150</v>
      </c>
      <c r="Y290">
        <v>159.30000000000001</v>
      </c>
      <c r="Z290">
        <v>141.9</v>
      </c>
      <c r="AA290">
        <v>149.6</v>
      </c>
      <c r="AB290">
        <v>159.19999999999999</v>
      </c>
      <c r="AC290">
        <v>156.80000000000001</v>
      </c>
      <c r="AD290">
        <v>151.9</v>
      </c>
      <c r="AE290">
        <v>157.30000000000001</v>
      </c>
    </row>
    <row r="291" spans="2:31" x14ac:dyDescent="0.3">
      <c r="B291" t="s">
        <v>30</v>
      </c>
      <c r="C291">
        <v>2021</v>
      </c>
      <c r="D291" t="s">
        <v>35</v>
      </c>
      <c r="E291">
        <v>142.80000000000001</v>
      </c>
      <c r="F291">
        <v>184</v>
      </c>
      <c r="G291">
        <v>168</v>
      </c>
      <c r="H291">
        <v>154.4</v>
      </c>
      <c r="I291">
        <v>163</v>
      </c>
      <c r="J291">
        <v>147.80000000000001</v>
      </c>
      <c r="K291">
        <v>149.69999999999999</v>
      </c>
      <c r="L291">
        <v>158.30000000000001</v>
      </c>
      <c r="M291">
        <v>111.8</v>
      </c>
      <c r="N291">
        <v>165</v>
      </c>
      <c r="O291">
        <v>160</v>
      </c>
      <c r="P291">
        <v>165.8</v>
      </c>
      <c r="Q291">
        <v>154.69999999999999</v>
      </c>
      <c r="R291">
        <v>186.5</v>
      </c>
      <c r="S291">
        <v>159.1</v>
      </c>
      <c r="T291">
        <v>153.9</v>
      </c>
      <c r="U291">
        <v>158.4</v>
      </c>
      <c r="V291" t="s">
        <v>32</v>
      </c>
      <c r="W291">
        <v>154.4</v>
      </c>
      <c r="X291">
        <v>154.80000000000001</v>
      </c>
      <c r="Y291">
        <v>164.3</v>
      </c>
      <c r="Z291">
        <v>150.19999999999999</v>
      </c>
      <c r="AA291">
        <v>157</v>
      </c>
      <c r="AB291">
        <v>163.6</v>
      </c>
      <c r="AC291">
        <v>155.19999999999999</v>
      </c>
      <c r="AD291">
        <v>157.19999999999999</v>
      </c>
      <c r="AE291">
        <v>156.69999999999999</v>
      </c>
    </row>
    <row r="292" spans="2:31" x14ac:dyDescent="0.3">
      <c r="B292" t="s">
        <v>33</v>
      </c>
      <c r="C292">
        <v>2021</v>
      </c>
      <c r="D292" t="s">
        <v>35</v>
      </c>
      <c r="E292">
        <v>147.6</v>
      </c>
      <c r="F292">
        <v>191.2</v>
      </c>
      <c r="G292">
        <v>169.9</v>
      </c>
      <c r="H292">
        <v>155.1</v>
      </c>
      <c r="I292">
        <v>151.4</v>
      </c>
      <c r="J292">
        <v>154</v>
      </c>
      <c r="K292">
        <v>180.2</v>
      </c>
      <c r="L292">
        <v>159.80000000000001</v>
      </c>
      <c r="M292">
        <v>114.9</v>
      </c>
      <c r="N292">
        <v>162.5</v>
      </c>
      <c r="O292">
        <v>149.19999999999999</v>
      </c>
      <c r="P292">
        <v>169.4</v>
      </c>
      <c r="Q292">
        <v>160.80000000000001</v>
      </c>
      <c r="R292">
        <v>193.3</v>
      </c>
      <c r="S292">
        <v>154.19999999999999</v>
      </c>
      <c r="T292">
        <v>138.19999999999999</v>
      </c>
      <c r="U292">
        <v>151.80000000000001</v>
      </c>
      <c r="V292">
        <v>159.80000000000001</v>
      </c>
      <c r="W292">
        <v>149.1</v>
      </c>
      <c r="X292">
        <v>146.5</v>
      </c>
      <c r="Y292">
        <v>156.30000000000001</v>
      </c>
      <c r="Z292">
        <v>140.5</v>
      </c>
      <c r="AA292">
        <v>147.30000000000001</v>
      </c>
      <c r="AB292">
        <v>156.6</v>
      </c>
      <c r="AC292">
        <v>156.69999999999999</v>
      </c>
      <c r="AD292">
        <v>149.30000000000001</v>
      </c>
      <c r="AE292">
        <v>156.5</v>
      </c>
    </row>
    <row r="293" spans="2:31" x14ac:dyDescent="0.3">
      <c r="B293" t="s">
        <v>34</v>
      </c>
      <c r="C293">
        <v>2021</v>
      </c>
      <c r="D293" t="s">
        <v>35</v>
      </c>
      <c r="E293">
        <v>144.30000000000001</v>
      </c>
      <c r="F293">
        <v>186.5</v>
      </c>
      <c r="G293">
        <v>168.7</v>
      </c>
      <c r="H293">
        <v>154.69999999999999</v>
      </c>
      <c r="I293">
        <v>158.69999999999999</v>
      </c>
      <c r="J293">
        <v>150.69999999999999</v>
      </c>
      <c r="K293">
        <v>160</v>
      </c>
      <c r="L293">
        <v>158.80000000000001</v>
      </c>
      <c r="M293">
        <v>112.8</v>
      </c>
      <c r="N293">
        <v>164.2</v>
      </c>
      <c r="O293">
        <v>155.5</v>
      </c>
      <c r="P293">
        <v>167.5</v>
      </c>
      <c r="Q293">
        <v>156.9</v>
      </c>
      <c r="R293">
        <v>188.3</v>
      </c>
      <c r="S293">
        <v>157.19999999999999</v>
      </c>
      <c r="T293">
        <v>147.4</v>
      </c>
      <c r="U293">
        <v>155.80000000000001</v>
      </c>
      <c r="V293">
        <v>159.80000000000001</v>
      </c>
      <c r="W293">
        <v>152.4</v>
      </c>
      <c r="X293">
        <v>150.9</v>
      </c>
      <c r="Y293">
        <v>161.30000000000001</v>
      </c>
      <c r="Z293">
        <v>145.1</v>
      </c>
      <c r="AA293">
        <v>151.5</v>
      </c>
      <c r="AB293">
        <v>159.5</v>
      </c>
      <c r="AC293">
        <v>155.80000000000001</v>
      </c>
      <c r="AD293">
        <v>153.4</v>
      </c>
      <c r="AE293">
        <v>156.6</v>
      </c>
    </row>
    <row r="294" spans="2:31" x14ac:dyDescent="0.3">
      <c r="B294" t="s">
        <v>30</v>
      </c>
      <c r="C294">
        <v>2021</v>
      </c>
      <c r="D294" t="s">
        <v>36</v>
      </c>
      <c r="E294">
        <v>142.5</v>
      </c>
      <c r="F294">
        <v>189.4</v>
      </c>
      <c r="G294">
        <v>163.19999999999999</v>
      </c>
      <c r="H294">
        <v>154.5</v>
      </c>
      <c r="I294">
        <v>168.2</v>
      </c>
      <c r="J294">
        <v>150.5</v>
      </c>
      <c r="K294">
        <v>141</v>
      </c>
      <c r="L294">
        <v>159.19999999999999</v>
      </c>
      <c r="M294">
        <v>111.7</v>
      </c>
      <c r="N294">
        <v>164</v>
      </c>
      <c r="O294">
        <v>160.6</v>
      </c>
      <c r="P294">
        <v>166.4</v>
      </c>
      <c r="Q294">
        <v>154.5</v>
      </c>
      <c r="R294">
        <v>186.1</v>
      </c>
      <c r="S294">
        <v>159.6</v>
      </c>
      <c r="T294">
        <v>154.4</v>
      </c>
      <c r="U294">
        <v>158.9</v>
      </c>
      <c r="V294" t="s">
        <v>48</v>
      </c>
      <c r="W294">
        <v>156</v>
      </c>
      <c r="X294">
        <v>154.80000000000001</v>
      </c>
      <c r="Y294">
        <v>164.6</v>
      </c>
      <c r="Z294">
        <v>151.30000000000001</v>
      </c>
      <c r="AA294">
        <v>157.80000000000001</v>
      </c>
      <c r="AB294">
        <v>163.80000000000001</v>
      </c>
      <c r="AC294">
        <v>153.1</v>
      </c>
      <c r="AD294">
        <v>157.30000000000001</v>
      </c>
      <c r="AE294">
        <v>156.69999999999999</v>
      </c>
    </row>
    <row r="295" spans="2:31" x14ac:dyDescent="0.3">
      <c r="B295" t="s">
        <v>33</v>
      </c>
      <c r="C295">
        <v>2021</v>
      </c>
      <c r="D295" t="s">
        <v>36</v>
      </c>
      <c r="E295">
        <v>147.5</v>
      </c>
      <c r="F295">
        <v>197.5</v>
      </c>
      <c r="G295">
        <v>164.7</v>
      </c>
      <c r="H295">
        <v>155.6</v>
      </c>
      <c r="I295">
        <v>156.4</v>
      </c>
      <c r="J295">
        <v>157.30000000000001</v>
      </c>
      <c r="K295">
        <v>166.1</v>
      </c>
      <c r="L295">
        <v>161.1</v>
      </c>
      <c r="M295">
        <v>114.3</v>
      </c>
      <c r="N295">
        <v>162.6</v>
      </c>
      <c r="O295">
        <v>150.69999999999999</v>
      </c>
      <c r="P295">
        <v>170.3</v>
      </c>
      <c r="Q295">
        <v>160.4</v>
      </c>
      <c r="R295">
        <v>193.5</v>
      </c>
      <c r="S295">
        <v>155.1</v>
      </c>
      <c r="T295">
        <v>138.69999999999999</v>
      </c>
      <c r="U295">
        <v>152.6</v>
      </c>
      <c r="V295">
        <v>159.9</v>
      </c>
      <c r="W295">
        <v>154.80000000000001</v>
      </c>
      <c r="X295">
        <v>147.19999999999999</v>
      </c>
      <c r="Y295">
        <v>156.9</v>
      </c>
      <c r="Z295">
        <v>141.69999999999999</v>
      </c>
      <c r="AA295">
        <v>148.6</v>
      </c>
      <c r="AB295">
        <v>157.6</v>
      </c>
      <c r="AC295">
        <v>154.9</v>
      </c>
      <c r="AD295">
        <v>150</v>
      </c>
      <c r="AE295">
        <v>156.9</v>
      </c>
    </row>
    <row r="296" spans="2:31" x14ac:dyDescent="0.3">
      <c r="B296" t="s">
        <v>34</v>
      </c>
      <c r="C296">
        <v>2021</v>
      </c>
      <c r="D296" t="s">
        <v>36</v>
      </c>
      <c r="E296">
        <v>144.1</v>
      </c>
      <c r="F296">
        <v>192.2</v>
      </c>
      <c r="G296">
        <v>163.80000000000001</v>
      </c>
      <c r="H296">
        <v>154.9</v>
      </c>
      <c r="I296">
        <v>163.9</v>
      </c>
      <c r="J296">
        <v>153.69999999999999</v>
      </c>
      <c r="K296">
        <v>149.5</v>
      </c>
      <c r="L296">
        <v>159.80000000000001</v>
      </c>
      <c r="M296">
        <v>112.6</v>
      </c>
      <c r="N296">
        <v>163.5</v>
      </c>
      <c r="O296">
        <v>156.5</v>
      </c>
      <c r="P296">
        <v>168.2</v>
      </c>
      <c r="Q296">
        <v>156.69999999999999</v>
      </c>
      <c r="R296">
        <v>188.1</v>
      </c>
      <c r="S296">
        <v>157.80000000000001</v>
      </c>
      <c r="T296">
        <v>147.9</v>
      </c>
      <c r="U296">
        <v>156.4</v>
      </c>
      <c r="V296">
        <v>159.9</v>
      </c>
      <c r="W296">
        <v>155.5</v>
      </c>
      <c r="X296">
        <v>151.19999999999999</v>
      </c>
      <c r="Y296">
        <v>161.69999999999999</v>
      </c>
      <c r="Z296">
        <v>146.19999999999999</v>
      </c>
      <c r="AA296">
        <v>152.6</v>
      </c>
      <c r="AB296">
        <v>160.19999999999999</v>
      </c>
      <c r="AC296">
        <v>153.80000000000001</v>
      </c>
      <c r="AD296">
        <v>153.80000000000001</v>
      </c>
      <c r="AE296">
        <v>156.80000000000001</v>
      </c>
    </row>
    <row r="297" spans="2:31" x14ac:dyDescent="0.3">
      <c r="B297" t="s">
        <v>30</v>
      </c>
      <c r="C297">
        <v>2021</v>
      </c>
      <c r="D297" t="s">
        <v>37</v>
      </c>
      <c r="E297">
        <v>142.69999999999999</v>
      </c>
      <c r="F297">
        <v>195.5</v>
      </c>
      <c r="G297">
        <v>163.4</v>
      </c>
      <c r="H297">
        <v>155</v>
      </c>
      <c r="I297">
        <v>175.2</v>
      </c>
      <c r="J297">
        <v>160.6</v>
      </c>
      <c r="K297">
        <v>135.1</v>
      </c>
      <c r="L297">
        <v>161.1</v>
      </c>
      <c r="M297">
        <v>112.2</v>
      </c>
      <c r="N297">
        <v>164.4</v>
      </c>
      <c r="O297">
        <v>161.9</v>
      </c>
      <c r="P297">
        <v>166.8</v>
      </c>
      <c r="Q297">
        <v>155.6</v>
      </c>
      <c r="R297">
        <v>186.8</v>
      </c>
      <c r="S297">
        <v>160.69999999999999</v>
      </c>
      <c r="T297">
        <v>155.1</v>
      </c>
      <c r="U297">
        <v>159.9</v>
      </c>
      <c r="V297" t="s">
        <v>48</v>
      </c>
      <c r="W297">
        <v>156</v>
      </c>
      <c r="X297">
        <v>155.5</v>
      </c>
      <c r="Y297">
        <v>165.3</v>
      </c>
      <c r="Z297">
        <v>151.69999999999999</v>
      </c>
      <c r="AA297">
        <v>158.6</v>
      </c>
      <c r="AB297">
        <v>164.1</v>
      </c>
      <c r="AC297">
        <v>154.6</v>
      </c>
      <c r="AD297">
        <v>158</v>
      </c>
      <c r="AE297">
        <v>157.6</v>
      </c>
    </row>
    <row r="298" spans="2:31" x14ac:dyDescent="0.3">
      <c r="B298" t="s">
        <v>33</v>
      </c>
      <c r="C298">
        <v>2021</v>
      </c>
      <c r="D298" t="s">
        <v>37</v>
      </c>
      <c r="E298">
        <v>147.6</v>
      </c>
      <c r="F298">
        <v>202.5</v>
      </c>
      <c r="G298">
        <v>166.4</v>
      </c>
      <c r="H298">
        <v>156</v>
      </c>
      <c r="I298">
        <v>161.4</v>
      </c>
      <c r="J298">
        <v>168.8</v>
      </c>
      <c r="K298">
        <v>161.6</v>
      </c>
      <c r="L298">
        <v>162.80000000000001</v>
      </c>
      <c r="M298">
        <v>114.8</v>
      </c>
      <c r="N298">
        <v>162.80000000000001</v>
      </c>
      <c r="O298">
        <v>151.5</v>
      </c>
      <c r="P298">
        <v>171.4</v>
      </c>
      <c r="Q298">
        <v>162</v>
      </c>
      <c r="R298">
        <v>194.4</v>
      </c>
      <c r="S298">
        <v>155.9</v>
      </c>
      <c r="T298">
        <v>139.30000000000001</v>
      </c>
      <c r="U298">
        <v>153.4</v>
      </c>
      <c r="V298">
        <v>161.4</v>
      </c>
      <c r="W298">
        <v>154.9</v>
      </c>
      <c r="X298">
        <v>147.6</v>
      </c>
      <c r="Y298">
        <v>157.5</v>
      </c>
      <c r="Z298">
        <v>142.1</v>
      </c>
      <c r="AA298">
        <v>149.1</v>
      </c>
      <c r="AB298">
        <v>157.6</v>
      </c>
      <c r="AC298">
        <v>156.6</v>
      </c>
      <c r="AD298">
        <v>150.5</v>
      </c>
      <c r="AE298">
        <v>158</v>
      </c>
    </row>
    <row r="299" spans="2:31" x14ac:dyDescent="0.3">
      <c r="B299" t="s">
        <v>34</v>
      </c>
      <c r="C299">
        <v>2021</v>
      </c>
      <c r="D299" t="s">
        <v>37</v>
      </c>
      <c r="E299">
        <v>144.30000000000001</v>
      </c>
      <c r="F299">
        <v>198</v>
      </c>
      <c r="G299">
        <v>164.6</v>
      </c>
      <c r="H299">
        <v>155.4</v>
      </c>
      <c r="I299">
        <v>170.1</v>
      </c>
      <c r="J299">
        <v>164.4</v>
      </c>
      <c r="K299">
        <v>144.1</v>
      </c>
      <c r="L299">
        <v>161.69999999999999</v>
      </c>
      <c r="M299">
        <v>113.1</v>
      </c>
      <c r="N299">
        <v>163.9</v>
      </c>
      <c r="O299">
        <v>157.6</v>
      </c>
      <c r="P299">
        <v>168.9</v>
      </c>
      <c r="Q299">
        <v>158</v>
      </c>
      <c r="R299">
        <v>188.8</v>
      </c>
      <c r="S299">
        <v>158.80000000000001</v>
      </c>
      <c r="T299">
        <v>148.5</v>
      </c>
      <c r="U299">
        <v>157.30000000000001</v>
      </c>
      <c r="V299">
        <v>161.4</v>
      </c>
      <c r="W299">
        <v>155.6</v>
      </c>
      <c r="X299">
        <v>151.80000000000001</v>
      </c>
      <c r="Y299">
        <v>162.30000000000001</v>
      </c>
      <c r="Z299">
        <v>146.6</v>
      </c>
      <c r="AA299">
        <v>153.19999999999999</v>
      </c>
      <c r="AB299">
        <v>160.30000000000001</v>
      </c>
      <c r="AC299">
        <v>155.4</v>
      </c>
      <c r="AD299">
        <v>154.4</v>
      </c>
      <c r="AE299">
        <v>157.80000000000001</v>
      </c>
    </row>
    <row r="300" spans="2:31" x14ac:dyDescent="0.3">
      <c r="B300" t="s">
        <v>30</v>
      </c>
      <c r="C300">
        <v>2021</v>
      </c>
      <c r="D300" t="s">
        <v>38</v>
      </c>
      <c r="E300">
        <v>145.1</v>
      </c>
      <c r="F300">
        <v>198.5</v>
      </c>
      <c r="G300">
        <v>168.6</v>
      </c>
      <c r="H300">
        <v>155.80000000000001</v>
      </c>
      <c r="I300">
        <v>184.4</v>
      </c>
      <c r="J300">
        <v>162.30000000000001</v>
      </c>
      <c r="K300">
        <v>138.4</v>
      </c>
      <c r="L300">
        <v>165.1</v>
      </c>
      <c r="M300">
        <v>114.3</v>
      </c>
      <c r="N300">
        <v>169.7</v>
      </c>
      <c r="O300">
        <v>164.6</v>
      </c>
      <c r="P300">
        <v>169.8</v>
      </c>
      <c r="Q300">
        <v>158.69999999999999</v>
      </c>
      <c r="R300">
        <v>189.6</v>
      </c>
      <c r="S300">
        <v>165.3</v>
      </c>
      <c r="T300">
        <v>160.6</v>
      </c>
      <c r="U300">
        <v>164.5</v>
      </c>
      <c r="V300" t="s">
        <v>32</v>
      </c>
      <c r="W300">
        <v>161.69999999999999</v>
      </c>
      <c r="X300">
        <v>158.80000000000001</v>
      </c>
      <c r="Y300">
        <v>169.1</v>
      </c>
      <c r="Z300">
        <v>153.19999999999999</v>
      </c>
      <c r="AA300">
        <v>160</v>
      </c>
      <c r="AB300">
        <v>167.6</v>
      </c>
      <c r="AC300">
        <v>159.30000000000001</v>
      </c>
      <c r="AD300">
        <v>161.1</v>
      </c>
      <c r="AE300">
        <v>161.1</v>
      </c>
    </row>
    <row r="301" spans="2:31" x14ac:dyDescent="0.3">
      <c r="B301" t="s">
        <v>33</v>
      </c>
      <c r="C301">
        <v>2021</v>
      </c>
      <c r="D301" t="s">
        <v>38</v>
      </c>
      <c r="E301">
        <v>148.80000000000001</v>
      </c>
      <c r="F301">
        <v>204.3</v>
      </c>
      <c r="G301">
        <v>173</v>
      </c>
      <c r="H301">
        <v>156.5</v>
      </c>
      <c r="I301">
        <v>168.8</v>
      </c>
      <c r="J301">
        <v>172.5</v>
      </c>
      <c r="K301">
        <v>166.5</v>
      </c>
      <c r="L301">
        <v>165.9</v>
      </c>
      <c r="M301">
        <v>115.9</v>
      </c>
      <c r="N301">
        <v>165.2</v>
      </c>
      <c r="O301">
        <v>152</v>
      </c>
      <c r="P301">
        <v>171.1</v>
      </c>
      <c r="Q301">
        <v>164.2</v>
      </c>
      <c r="R301">
        <v>198.2</v>
      </c>
      <c r="S301">
        <v>156.5</v>
      </c>
      <c r="T301">
        <v>140.19999999999999</v>
      </c>
      <c r="U301">
        <v>154.1</v>
      </c>
      <c r="V301">
        <v>161.6</v>
      </c>
      <c r="W301">
        <v>155.5</v>
      </c>
      <c r="X301">
        <v>150.1</v>
      </c>
      <c r="Y301">
        <v>160.4</v>
      </c>
      <c r="Z301">
        <v>145</v>
      </c>
      <c r="AA301">
        <v>152.6</v>
      </c>
      <c r="AB301">
        <v>156.6</v>
      </c>
      <c r="AC301">
        <v>157.5</v>
      </c>
      <c r="AD301">
        <v>152.30000000000001</v>
      </c>
      <c r="AE301">
        <v>159.5</v>
      </c>
    </row>
    <row r="302" spans="2:31" x14ac:dyDescent="0.3">
      <c r="B302" t="s">
        <v>34</v>
      </c>
      <c r="C302">
        <v>2021</v>
      </c>
      <c r="D302" t="s">
        <v>38</v>
      </c>
      <c r="E302">
        <v>146.30000000000001</v>
      </c>
      <c r="F302">
        <v>200.5</v>
      </c>
      <c r="G302">
        <v>170.3</v>
      </c>
      <c r="H302">
        <v>156.1</v>
      </c>
      <c r="I302">
        <v>178.7</v>
      </c>
      <c r="J302">
        <v>167.1</v>
      </c>
      <c r="K302">
        <v>147.9</v>
      </c>
      <c r="L302">
        <v>165.4</v>
      </c>
      <c r="M302">
        <v>114.8</v>
      </c>
      <c r="N302">
        <v>168.2</v>
      </c>
      <c r="O302">
        <v>159.30000000000001</v>
      </c>
      <c r="P302">
        <v>170.4</v>
      </c>
      <c r="Q302">
        <v>160.69999999999999</v>
      </c>
      <c r="R302">
        <v>191.9</v>
      </c>
      <c r="S302">
        <v>161.80000000000001</v>
      </c>
      <c r="T302">
        <v>152.1</v>
      </c>
      <c r="U302">
        <v>160.4</v>
      </c>
      <c r="V302">
        <v>161.6</v>
      </c>
      <c r="W302">
        <v>159.4</v>
      </c>
      <c r="X302">
        <v>154.69999999999999</v>
      </c>
      <c r="Y302">
        <v>165.8</v>
      </c>
      <c r="Z302">
        <v>148.9</v>
      </c>
      <c r="AA302">
        <v>155.80000000000001</v>
      </c>
      <c r="AB302">
        <v>161.19999999999999</v>
      </c>
      <c r="AC302">
        <v>158.6</v>
      </c>
      <c r="AD302">
        <v>156.80000000000001</v>
      </c>
      <c r="AE302">
        <v>160.4</v>
      </c>
    </row>
    <row r="303" spans="2:31" x14ac:dyDescent="0.3">
      <c r="B303" t="s">
        <v>30</v>
      </c>
      <c r="C303">
        <v>2021</v>
      </c>
      <c r="D303" t="s">
        <v>39</v>
      </c>
      <c r="E303">
        <v>145.6</v>
      </c>
      <c r="F303">
        <v>200.1</v>
      </c>
      <c r="G303">
        <v>179.3</v>
      </c>
      <c r="H303">
        <v>156.1</v>
      </c>
      <c r="I303">
        <v>190.4</v>
      </c>
      <c r="J303">
        <v>158.6</v>
      </c>
      <c r="K303">
        <v>144.69999999999999</v>
      </c>
      <c r="L303">
        <v>165.5</v>
      </c>
      <c r="M303">
        <v>114.6</v>
      </c>
      <c r="N303">
        <v>170</v>
      </c>
      <c r="O303">
        <v>165.5</v>
      </c>
      <c r="P303">
        <v>171.7</v>
      </c>
      <c r="Q303">
        <v>160.5</v>
      </c>
      <c r="R303">
        <v>189.1</v>
      </c>
      <c r="S303">
        <v>165.3</v>
      </c>
      <c r="T303">
        <v>159.9</v>
      </c>
      <c r="U303">
        <v>164.6</v>
      </c>
      <c r="V303" t="s">
        <v>32</v>
      </c>
      <c r="W303">
        <v>162.1</v>
      </c>
      <c r="X303">
        <v>159.19999999999999</v>
      </c>
      <c r="Y303">
        <v>169.7</v>
      </c>
      <c r="Z303">
        <v>154.19999999999999</v>
      </c>
      <c r="AA303">
        <v>160.4</v>
      </c>
      <c r="AB303">
        <v>166.8</v>
      </c>
      <c r="AC303">
        <v>159.4</v>
      </c>
      <c r="AD303">
        <v>161.5</v>
      </c>
      <c r="AE303">
        <v>162.1</v>
      </c>
    </row>
    <row r="304" spans="2:31" x14ac:dyDescent="0.3">
      <c r="B304" t="s">
        <v>33</v>
      </c>
      <c r="C304">
        <v>2021</v>
      </c>
      <c r="D304" t="s">
        <v>39</v>
      </c>
      <c r="E304">
        <v>149.19999999999999</v>
      </c>
      <c r="F304">
        <v>205.5</v>
      </c>
      <c r="G304">
        <v>182.8</v>
      </c>
      <c r="H304">
        <v>156.5</v>
      </c>
      <c r="I304">
        <v>172.2</v>
      </c>
      <c r="J304">
        <v>171.5</v>
      </c>
      <c r="K304">
        <v>176.2</v>
      </c>
      <c r="L304">
        <v>166.9</v>
      </c>
      <c r="M304">
        <v>116.1</v>
      </c>
      <c r="N304">
        <v>165.5</v>
      </c>
      <c r="O304">
        <v>152.30000000000001</v>
      </c>
      <c r="P304">
        <v>173.3</v>
      </c>
      <c r="Q304">
        <v>166.2</v>
      </c>
      <c r="R304">
        <v>195.6</v>
      </c>
      <c r="S304">
        <v>157.30000000000001</v>
      </c>
      <c r="T304">
        <v>140.5</v>
      </c>
      <c r="U304">
        <v>154.80000000000001</v>
      </c>
      <c r="V304">
        <v>160.5</v>
      </c>
      <c r="W304">
        <v>156.1</v>
      </c>
      <c r="X304">
        <v>149.80000000000001</v>
      </c>
      <c r="Y304">
        <v>160.80000000000001</v>
      </c>
      <c r="Z304">
        <v>147.5</v>
      </c>
      <c r="AA304">
        <v>150.69999999999999</v>
      </c>
      <c r="AB304">
        <v>158.1</v>
      </c>
      <c r="AC304">
        <v>158</v>
      </c>
      <c r="AD304">
        <v>153.4</v>
      </c>
      <c r="AE304">
        <v>160.4</v>
      </c>
    </row>
    <row r="305" spans="2:31" x14ac:dyDescent="0.3">
      <c r="B305" t="s">
        <v>34</v>
      </c>
      <c r="C305">
        <v>2021</v>
      </c>
      <c r="D305" t="s">
        <v>39</v>
      </c>
      <c r="E305">
        <v>146.69999999999999</v>
      </c>
      <c r="F305">
        <v>202</v>
      </c>
      <c r="G305">
        <v>180.7</v>
      </c>
      <c r="H305">
        <v>156.19999999999999</v>
      </c>
      <c r="I305">
        <v>183.7</v>
      </c>
      <c r="J305">
        <v>164.6</v>
      </c>
      <c r="K305">
        <v>155.4</v>
      </c>
      <c r="L305">
        <v>166</v>
      </c>
      <c r="M305">
        <v>115.1</v>
      </c>
      <c r="N305">
        <v>168.5</v>
      </c>
      <c r="O305">
        <v>160</v>
      </c>
      <c r="P305">
        <v>172.4</v>
      </c>
      <c r="Q305">
        <v>162.6</v>
      </c>
      <c r="R305">
        <v>190.8</v>
      </c>
      <c r="S305">
        <v>162.19999999999999</v>
      </c>
      <c r="T305">
        <v>151.80000000000001</v>
      </c>
      <c r="U305">
        <v>160.69999999999999</v>
      </c>
      <c r="V305">
        <v>160.5</v>
      </c>
      <c r="W305">
        <v>159.80000000000001</v>
      </c>
      <c r="X305">
        <v>154.80000000000001</v>
      </c>
      <c r="Y305">
        <v>166.3</v>
      </c>
      <c r="Z305">
        <v>150.69999999999999</v>
      </c>
      <c r="AA305">
        <v>154.9</v>
      </c>
      <c r="AB305">
        <v>161.69999999999999</v>
      </c>
      <c r="AC305">
        <v>158.80000000000001</v>
      </c>
      <c r="AD305">
        <v>157.6</v>
      </c>
      <c r="AE305">
        <v>161.30000000000001</v>
      </c>
    </row>
    <row r="306" spans="2:31" x14ac:dyDescent="0.3">
      <c r="B306" t="s">
        <v>30</v>
      </c>
      <c r="C306">
        <v>2021</v>
      </c>
      <c r="D306" t="s">
        <v>40</v>
      </c>
      <c r="E306">
        <v>145.1</v>
      </c>
      <c r="F306">
        <v>204.5</v>
      </c>
      <c r="G306">
        <v>180.4</v>
      </c>
      <c r="H306">
        <v>157.1</v>
      </c>
      <c r="I306">
        <v>188.7</v>
      </c>
      <c r="J306">
        <v>157.69999999999999</v>
      </c>
      <c r="K306">
        <v>152.80000000000001</v>
      </c>
      <c r="L306">
        <v>163.6</v>
      </c>
      <c r="M306">
        <v>113.9</v>
      </c>
      <c r="N306">
        <v>169.7</v>
      </c>
      <c r="O306">
        <v>166.2</v>
      </c>
      <c r="P306">
        <v>171</v>
      </c>
      <c r="Q306">
        <v>161.69999999999999</v>
      </c>
      <c r="R306">
        <v>189.7</v>
      </c>
      <c r="S306">
        <v>166</v>
      </c>
      <c r="T306">
        <v>161.1</v>
      </c>
      <c r="U306">
        <v>165.3</v>
      </c>
      <c r="V306" t="s">
        <v>32</v>
      </c>
      <c r="W306">
        <v>162.5</v>
      </c>
      <c r="X306">
        <v>160.30000000000001</v>
      </c>
      <c r="Y306">
        <v>170.4</v>
      </c>
      <c r="Z306">
        <v>157.1</v>
      </c>
      <c r="AA306">
        <v>160.69999999999999</v>
      </c>
      <c r="AB306">
        <v>167.2</v>
      </c>
      <c r="AC306">
        <v>160.4</v>
      </c>
      <c r="AD306">
        <v>162.80000000000001</v>
      </c>
      <c r="AE306">
        <v>163.19999999999999</v>
      </c>
    </row>
    <row r="307" spans="2:31" x14ac:dyDescent="0.3">
      <c r="B307" t="s">
        <v>33</v>
      </c>
      <c r="C307">
        <v>2021</v>
      </c>
      <c r="D307" t="s">
        <v>40</v>
      </c>
      <c r="E307">
        <v>149.1</v>
      </c>
      <c r="F307">
        <v>210.9</v>
      </c>
      <c r="G307">
        <v>185</v>
      </c>
      <c r="H307">
        <v>158.19999999999999</v>
      </c>
      <c r="I307">
        <v>170.6</v>
      </c>
      <c r="J307">
        <v>170.9</v>
      </c>
      <c r="K307">
        <v>186.4</v>
      </c>
      <c r="L307">
        <v>164.7</v>
      </c>
      <c r="M307">
        <v>115.7</v>
      </c>
      <c r="N307">
        <v>165.5</v>
      </c>
      <c r="O307">
        <v>153.4</v>
      </c>
      <c r="P307">
        <v>173.5</v>
      </c>
      <c r="Q307">
        <v>167.9</v>
      </c>
      <c r="R307">
        <v>195.5</v>
      </c>
      <c r="S307">
        <v>157.9</v>
      </c>
      <c r="T307">
        <v>141.9</v>
      </c>
      <c r="U307">
        <v>155.5</v>
      </c>
      <c r="V307">
        <v>161.5</v>
      </c>
      <c r="W307">
        <v>157.69999999999999</v>
      </c>
      <c r="X307">
        <v>150.69999999999999</v>
      </c>
      <c r="Y307">
        <v>161.5</v>
      </c>
      <c r="Z307">
        <v>149.5</v>
      </c>
      <c r="AA307">
        <v>151.19999999999999</v>
      </c>
      <c r="AB307">
        <v>160.30000000000001</v>
      </c>
      <c r="AC307">
        <v>159.6</v>
      </c>
      <c r="AD307">
        <v>155</v>
      </c>
      <c r="AE307">
        <v>161.80000000000001</v>
      </c>
    </row>
    <row r="308" spans="2:31" x14ac:dyDescent="0.3">
      <c r="B308" t="s">
        <v>34</v>
      </c>
      <c r="C308">
        <v>2021</v>
      </c>
      <c r="D308" t="s">
        <v>40</v>
      </c>
      <c r="E308">
        <v>146.4</v>
      </c>
      <c r="F308">
        <v>206.8</v>
      </c>
      <c r="G308">
        <v>182.2</v>
      </c>
      <c r="H308">
        <v>157.5</v>
      </c>
      <c r="I308">
        <v>182.1</v>
      </c>
      <c r="J308">
        <v>163.9</v>
      </c>
      <c r="K308">
        <v>164.2</v>
      </c>
      <c r="L308">
        <v>164</v>
      </c>
      <c r="M308">
        <v>114.5</v>
      </c>
      <c r="N308">
        <v>168.3</v>
      </c>
      <c r="O308">
        <v>160.9</v>
      </c>
      <c r="P308">
        <v>172.2</v>
      </c>
      <c r="Q308">
        <v>164</v>
      </c>
      <c r="R308">
        <v>191.2</v>
      </c>
      <c r="S308">
        <v>162.80000000000001</v>
      </c>
      <c r="T308">
        <v>153.1</v>
      </c>
      <c r="U308">
        <v>161.4</v>
      </c>
      <c r="V308">
        <v>161.5</v>
      </c>
      <c r="W308">
        <v>160.69999999999999</v>
      </c>
      <c r="X308">
        <v>155.80000000000001</v>
      </c>
      <c r="Y308">
        <v>167</v>
      </c>
      <c r="Z308">
        <v>153.1</v>
      </c>
      <c r="AA308">
        <v>155.30000000000001</v>
      </c>
      <c r="AB308">
        <v>163.19999999999999</v>
      </c>
      <c r="AC308">
        <v>160.1</v>
      </c>
      <c r="AD308">
        <v>159</v>
      </c>
      <c r="AE308">
        <v>162.5</v>
      </c>
    </row>
    <row r="309" spans="2:31" x14ac:dyDescent="0.3">
      <c r="B309" t="s">
        <v>30</v>
      </c>
      <c r="C309">
        <v>2021</v>
      </c>
      <c r="D309" t="s">
        <v>41</v>
      </c>
      <c r="E309">
        <v>144.9</v>
      </c>
      <c r="F309">
        <v>202.3</v>
      </c>
      <c r="G309">
        <v>176.5</v>
      </c>
      <c r="H309">
        <v>157.5</v>
      </c>
      <c r="I309">
        <v>190.9</v>
      </c>
      <c r="J309">
        <v>155.69999999999999</v>
      </c>
      <c r="K309">
        <v>153.9</v>
      </c>
      <c r="L309">
        <v>162.80000000000001</v>
      </c>
      <c r="M309">
        <v>115.2</v>
      </c>
      <c r="N309">
        <v>169.8</v>
      </c>
      <c r="O309">
        <v>167.6</v>
      </c>
      <c r="P309">
        <v>171.9</v>
      </c>
      <c r="Q309">
        <v>161.80000000000001</v>
      </c>
      <c r="R309">
        <v>190.2</v>
      </c>
      <c r="S309">
        <v>167</v>
      </c>
      <c r="T309">
        <v>162.6</v>
      </c>
      <c r="U309">
        <v>166.3</v>
      </c>
      <c r="V309" t="s">
        <v>32</v>
      </c>
      <c r="W309">
        <v>163.1</v>
      </c>
      <c r="X309">
        <v>160.9</v>
      </c>
      <c r="Y309">
        <v>171.1</v>
      </c>
      <c r="Z309">
        <v>157.69999999999999</v>
      </c>
      <c r="AA309">
        <v>161.1</v>
      </c>
      <c r="AB309">
        <v>167.5</v>
      </c>
      <c r="AC309">
        <v>160.30000000000001</v>
      </c>
      <c r="AD309">
        <v>163.30000000000001</v>
      </c>
      <c r="AE309">
        <v>163.6</v>
      </c>
    </row>
    <row r="310" spans="2:31" x14ac:dyDescent="0.3">
      <c r="B310" t="s">
        <v>33</v>
      </c>
      <c r="C310">
        <v>2021</v>
      </c>
      <c r="D310" t="s">
        <v>41</v>
      </c>
      <c r="E310">
        <v>149.30000000000001</v>
      </c>
      <c r="F310">
        <v>207.4</v>
      </c>
      <c r="G310">
        <v>174.1</v>
      </c>
      <c r="H310">
        <v>159.19999999999999</v>
      </c>
      <c r="I310">
        <v>175</v>
      </c>
      <c r="J310">
        <v>161.30000000000001</v>
      </c>
      <c r="K310">
        <v>183.3</v>
      </c>
      <c r="L310">
        <v>164.5</v>
      </c>
      <c r="M310">
        <v>120.4</v>
      </c>
      <c r="N310">
        <v>166.2</v>
      </c>
      <c r="O310">
        <v>154.80000000000001</v>
      </c>
      <c r="P310">
        <v>175.1</v>
      </c>
      <c r="Q310">
        <v>167.3</v>
      </c>
      <c r="R310">
        <v>196.5</v>
      </c>
      <c r="S310">
        <v>159.80000000000001</v>
      </c>
      <c r="T310">
        <v>143.6</v>
      </c>
      <c r="U310">
        <v>157.30000000000001</v>
      </c>
      <c r="V310">
        <v>162.1</v>
      </c>
      <c r="W310">
        <v>160.69999999999999</v>
      </c>
      <c r="X310">
        <v>153.19999999999999</v>
      </c>
      <c r="Y310">
        <v>162.80000000000001</v>
      </c>
      <c r="Z310">
        <v>150.4</v>
      </c>
      <c r="AA310">
        <v>153.69999999999999</v>
      </c>
      <c r="AB310">
        <v>160.4</v>
      </c>
      <c r="AC310">
        <v>159.6</v>
      </c>
      <c r="AD310">
        <v>156</v>
      </c>
      <c r="AE310">
        <v>162.30000000000001</v>
      </c>
    </row>
    <row r="311" spans="2:31" x14ac:dyDescent="0.3">
      <c r="B311" t="s">
        <v>34</v>
      </c>
      <c r="C311">
        <v>2021</v>
      </c>
      <c r="D311" t="s">
        <v>41</v>
      </c>
      <c r="E311">
        <v>146.6</v>
      </c>
      <c r="F311">
        <v>204</v>
      </c>
      <c r="G311">
        <v>172.8</v>
      </c>
      <c r="H311">
        <v>158.4</v>
      </c>
      <c r="I311">
        <v>188</v>
      </c>
      <c r="J311">
        <v>156.80000000000001</v>
      </c>
      <c r="K311">
        <v>162.19999999999999</v>
      </c>
      <c r="L311">
        <v>164.1</v>
      </c>
      <c r="M311">
        <v>119.7</v>
      </c>
      <c r="N311">
        <v>168.8</v>
      </c>
      <c r="O311">
        <v>162.69999999999999</v>
      </c>
      <c r="P311">
        <v>173.9</v>
      </c>
      <c r="Q311">
        <v>164</v>
      </c>
      <c r="R311">
        <v>192.1</v>
      </c>
      <c r="S311">
        <v>164.5</v>
      </c>
      <c r="T311">
        <v>155.30000000000001</v>
      </c>
      <c r="U311">
        <v>163.19999999999999</v>
      </c>
      <c r="V311">
        <v>162.1</v>
      </c>
      <c r="W311">
        <v>162.6</v>
      </c>
      <c r="X311">
        <v>157.5</v>
      </c>
      <c r="Y311">
        <v>168.4</v>
      </c>
      <c r="Z311">
        <v>154</v>
      </c>
      <c r="AA311">
        <v>157.6</v>
      </c>
      <c r="AB311">
        <v>163.80000000000001</v>
      </c>
      <c r="AC311">
        <v>160</v>
      </c>
      <c r="AD311">
        <v>160</v>
      </c>
      <c r="AE311">
        <v>163.19999999999999</v>
      </c>
    </row>
    <row r="312" spans="2:31" x14ac:dyDescent="0.3">
      <c r="B312" t="s">
        <v>30</v>
      </c>
      <c r="C312">
        <v>2021</v>
      </c>
      <c r="D312" t="s">
        <v>42</v>
      </c>
      <c r="E312">
        <v>145.4</v>
      </c>
      <c r="F312">
        <v>202.1</v>
      </c>
      <c r="G312">
        <v>172</v>
      </c>
      <c r="H312">
        <v>158</v>
      </c>
      <c r="I312">
        <v>195.5</v>
      </c>
      <c r="J312">
        <v>152.69999999999999</v>
      </c>
      <c r="K312">
        <v>151.4</v>
      </c>
      <c r="L312">
        <v>163.9</v>
      </c>
      <c r="M312">
        <v>119.3</v>
      </c>
      <c r="N312">
        <v>170.1</v>
      </c>
      <c r="O312">
        <v>168.3</v>
      </c>
      <c r="P312">
        <v>172.8</v>
      </c>
      <c r="Q312">
        <v>162.1</v>
      </c>
      <c r="R312">
        <v>190.5</v>
      </c>
      <c r="S312">
        <v>167.7</v>
      </c>
      <c r="T312">
        <v>163.6</v>
      </c>
      <c r="U312">
        <v>167.1</v>
      </c>
      <c r="V312" t="s">
        <v>32</v>
      </c>
      <c r="W312">
        <v>163.69999999999999</v>
      </c>
      <c r="X312">
        <v>161.30000000000001</v>
      </c>
      <c r="Y312">
        <v>171.9</v>
      </c>
      <c r="Z312">
        <v>157.80000000000001</v>
      </c>
      <c r="AA312">
        <v>162.69999999999999</v>
      </c>
      <c r="AB312">
        <v>168.5</v>
      </c>
      <c r="AC312">
        <v>160.19999999999999</v>
      </c>
      <c r="AD312">
        <v>163.80000000000001</v>
      </c>
      <c r="AE312">
        <v>164</v>
      </c>
    </row>
    <row r="313" spans="2:31" x14ac:dyDescent="0.3">
      <c r="B313" t="s">
        <v>33</v>
      </c>
      <c r="C313">
        <v>2021</v>
      </c>
      <c r="D313" t="s">
        <v>42</v>
      </c>
      <c r="E313">
        <v>149.30000000000001</v>
      </c>
      <c r="F313">
        <v>207.4</v>
      </c>
      <c r="G313">
        <v>174.1</v>
      </c>
      <c r="H313">
        <v>159.1</v>
      </c>
      <c r="I313">
        <v>175</v>
      </c>
      <c r="J313">
        <v>161.19999999999999</v>
      </c>
      <c r="K313">
        <v>183.5</v>
      </c>
      <c r="L313">
        <v>164.5</v>
      </c>
      <c r="M313">
        <v>120.4</v>
      </c>
      <c r="N313">
        <v>166.2</v>
      </c>
      <c r="O313">
        <v>154.80000000000001</v>
      </c>
      <c r="P313">
        <v>175.1</v>
      </c>
      <c r="Q313">
        <v>167.3</v>
      </c>
      <c r="R313">
        <v>196.5</v>
      </c>
      <c r="S313">
        <v>159.80000000000001</v>
      </c>
      <c r="T313">
        <v>143.6</v>
      </c>
      <c r="U313">
        <v>157.4</v>
      </c>
      <c r="V313">
        <v>162.1</v>
      </c>
      <c r="W313">
        <v>160.80000000000001</v>
      </c>
      <c r="X313">
        <v>153.30000000000001</v>
      </c>
      <c r="Y313">
        <v>162.80000000000001</v>
      </c>
      <c r="Z313">
        <v>150.5</v>
      </c>
      <c r="AA313">
        <v>153.9</v>
      </c>
      <c r="AB313">
        <v>160.30000000000001</v>
      </c>
      <c r="AC313">
        <v>159.6</v>
      </c>
      <c r="AD313">
        <v>156</v>
      </c>
      <c r="AE313">
        <v>162.30000000000001</v>
      </c>
    </row>
    <row r="314" spans="2:31" x14ac:dyDescent="0.3">
      <c r="B314" t="s">
        <v>34</v>
      </c>
      <c r="C314">
        <v>2021</v>
      </c>
      <c r="D314" t="s">
        <v>42</v>
      </c>
      <c r="E314">
        <v>146.6</v>
      </c>
      <c r="F314">
        <v>204</v>
      </c>
      <c r="G314">
        <v>172.8</v>
      </c>
      <c r="H314">
        <v>158.4</v>
      </c>
      <c r="I314">
        <v>188</v>
      </c>
      <c r="J314">
        <v>156.69999999999999</v>
      </c>
      <c r="K314">
        <v>162.30000000000001</v>
      </c>
      <c r="L314">
        <v>164.1</v>
      </c>
      <c r="M314">
        <v>119.7</v>
      </c>
      <c r="N314">
        <v>168.8</v>
      </c>
      <c r="O314">
        <v>162.69999999999999</v>
      </c>
      <c r="P314">
        <v>173.9</v>
      </c>
      <c r="Q314">
        <v>164</v>
      </c>
      <c r="R314">
        <v>192.1</v>
      </c>
      <c r="S314">
        <v>164.6</v>
      </c>
      <c r="T314">
        <v>155.30000000000001</v>
      </c>
      <c r="U314">
        <v>163.30000000000001</v>
      </c>
      <c r="V314">
        <v>162.1</v>
      </c>
      <c r="W314">
        <v>162.6</v>
      </c>
      <c r="X314">
        <v>157.5</v>
      </c>
      <c r="Y314">
        <v>168.4</v>
      </c>
      <c r="Z314">
        <v>154</v>
      </c>
      <c r="AA314">
        <v>157.69999999999999</v>
      </c>
      <c r="AB314">
        <v>163.69999999999999</v>
      </c>
      <c r="AC314">
        <v>160</v>
      </c>
      <c r="AD314">
        <v>160</v>
      </c>
      <c r="AE314">
        <v>163.19999999999999</v>
      </c>
    </row>
    <row r="315" spans="2:31" x14ac:dyDescent="0.3">
      <c r="B315" t="s">
        <v>30</v>
      </c>
      <c r="C315">
        <v>2021</v>
      </c>
      <c r="D315" t="s">
        <v>43</v>
      </c>
      <c r="E315">
        <v>146.1</v>
      </c>
      <c r="F315">
        <v>202.5</v>
      </c>
      <c r="G315">
        <v>170.1</v>
      </c>
      <c r="H315">
        <v>158.4</v>
      </c>
      <c r="I315">
        <v>198.8</v>
      </c>
      <c r="J315">
        <v>152.6</v>
      </c>
      <c r="K315">
        <v>170.4</v>
      </c>
      <c r="L315">
        <v>165.2</v>
      </c>
      <c r="M315">
        <v>121.6</v>
      </c>
      <c r="N315">
        <v>170.6</v>
      </c>
      <c r="O315">
        <v>168.8</v>
      </c>
      <c r="P315">
        <v>173.6</v>
      </c>
      <c r="Q315">
        <v>165.5</v>
      </c>
      <c r="R315">
        <v>191.2</v>
      </c>
      <c r="S315">
        <v>168.9</v>
      </c>
      <c r="T315">
        <v>164.8</v>
      </c>
      <c r="U315">
        <v>168.3</v>
      </c>
      <c r="V315" t="s">
        <v>32</v>
      </c>
      <c r="W315">
        <v>165.5</v>
      </c>
      <c r="X315">
        <v>162</v>
      </c>
      <c r="Y315">
        <v>172.5</v>
      </c>
      <c r="Z315">
        <v>159.5</v>
      </c>
      <c r="AA315">
        <v>163.19999999999999</v>
      </c>
      <c r="AB315">
        <v>169</v>
      </c>
      <c r="AC315">
        <v>161.1</v>
      </c>
      <c r="AD315">
        <v>164.7</v>
      </c>
      <c r="AE315">
        <v>166.3</v>
      </c>
    </row>
    <row r="316" spans="2:31" x14ac:dyDescent="0.3">
      <c r="B316" t="s">
        <v>33</v>
      </c>
      <c r="C316">
        <v>2021</v>
      </c>
      <c r="D316" t="s">
        <v>43</v>
      </c>
      <c r="E316">
        <v>150.1</v>
      </c>
      <c r="F316">
        <v>208.4</v>
      </c>
      <c r="G316">
        <v>173</v>
      </c>
      <c r="H316">
        <v>159.19999999999999</v>
      </c>
      <c r="I316">
        <v>176.6</v>
      </c>
      <c r="J316">
        <v>159.30000000000001</v>
      </c>
      <c r="K316">
        <v>214.4</v>
      </c>
      <c r="L316">
        <v>165.3</v>
      </c>
      <c r="M316">
        <v>122.5</v>
      </c>
      <c r="N316">
        <v>166.8</v>
      </c>
      <c r="O316">
        <v>155.4</v>
      </c>
      <c r="P316">
        <v>175.9</v>
      </c>
      <c r="Q316">
        <v>171.5</v>
      </c>
      <c r="R316">
        <v>197</v>
      </c>
      <c r="S316">
        <v>160.80000000000001</v>
      </c>
      <c r="T316">
        <v>144.4</v>
      </c>
      <c r="U316">
        <v>158.30000000000001</v>
      </c>
      <c r="V316">
        <v>163.6</v>
      </c>
      <c r="W316">
        <v>162.19999999999999</v>
      </c>
      <c r="X316">
        <v>154.30000000000001</v>
      </c>
      <c r="Y316">
        <v>163.5</v>
      </c>
      <c r="Z316">
        <v>152.19999999999999</v>
      </c>
      <c r="AA316">
        <v>155.1</v>
      </c>
      <c r="AB316">
        <v>160.30000000000001</v>
      </c>
      <c r="AC316">
        <v>160.30000000000001</v>
      </c>
      <c r="AD316">
        <v>157</v>
      </c>
      <c r="AE316">
        <v>164.6</v>
      </c>
    </row>
    <row r="317" spans="2:31" x14ac:dyDescent="0.3">
      <c r="B317" t="s">
        <v>34</v>
      </c>
      <c r="C317">
        <v>2021</v>
      </c>
      <c r="D317" t="s">
        <v>43</v>
      </c>
      <c r="E317">
        <v>147.4</v>
      </c>
      <c r="F317">
        <v>204.6</v>
      </c>
      <c r="G317">
        <v>171.2</v>
      </c>
      <c r="H317">
        <v>158.69999999999999</v>
      </c>
      <c r="I317">
        <v>190.6</v>
      </c>
      <c r="J317">
        <v>155.69999999999999</v>
      </c>
      <c r="K317">
        <v>185.3</v>
      </c>
      <c r="L317">
        <v>165.2</v>
      </c>
      <c r="M317">
        <v>121.9</v>
      </c>
      <c r="N317">
        <v>169.3</v>
      </c>
      <c r="O317">
        <v>163.19999999999999</v>
      </c>
      <c r="P317">
        <v>174.7</v>
      </c>
      <c r="Q317">
        <v>167.7</v>
      </c>
      <c r="R317">
        <v>192.7</v>
      </c>
      <c r="S317">
        <v>165.7</v>
      </c>
      <c r="T317">
        <v>156.30000000000001</v>
      </c>
      <c r="U317">
        <v>164.3</v>
      </c>
      <c r="V317">
        <v>163.6</v>
      </c>
      <c r="W317">
        <v>164.2</v>
      </c>
      <c r="X317">
        <v>158.4</v>
      </c>
      <c r="Y317">
        <v>169.1</v>
      </c>
      <c r="Z317">
        <v>155.69999999999999</v>
      </c>
      <c r="AA317">
        <v>158.6</v>
      </c>
      <c r="AB317">
        <v>163.9</v>
      </c>
      <c r="AC317">
        <v>160.80000000000001</v>
      </c>
      <c r="AD317">
        <v>161</v>
      </c>
      <c r="AE317">
        <v>165.5</v>
      </c>
    </row>
    <row r="318" spans="2:31" x14ac:dyDescent="0.3">
      <c r="B318" t="s">
        <v>30</v>
      </c>
      <c r="C318">
        <v>2021</v>
      </c>
      <c r="D318" t="s">
        <v>45</v>
      </c>
      <c r="E318">
        <v>146.9</v>
      </c>
      <c r="F318">
        <v>199.8</v>
      </c>
      <c r="G318">
        <v>171.5</v>
      </c>
      <c r="H318">
        <v>159.1</v>
      </c>
      <c r="I318">
        <v>198.4</v>
      </c>
      <c r="J318">
        <v>153.19999999999999</v>
      </c>
      <c r="K318">
        <v>183.9</v>
      </c>
      <c r="L318">
        <v>165.4</v>
      </c>
      <c r="M318">
        <v>122.1</v>
      </c>
      <c r="N318">
        <v>170.8</v>
      </c>
      <c r="O318">
        <v>169.1</v>
      </c>
      <c r="P318">
        <v>174.3</v>
      </c>
      <c r="Q318">
        <v>167.5</v>
      </c>
      <c r="R318">
        <v>191.4</v>
      </c>
      <c r="S318">
        <v>170.4</v>
      </c>
      <c r="T318">
        <v>166</v>
      </c>
      <c r="U318">
        <v>169.8</v>
      </c>
      <c r="V318" t="s">
        <v>32</v>
      </c>
      <c r="W318">
        <v>165.3</v>
      </c>
      <c r="X318">
        <v>162.9</v>
      </c>
      <c r="Y318">
        <v>173.4</v>
      </c>
      <c r="Z318">
        <v>158.9</v>
      </c>
      <c r="AA318">
        <v>163.80000000000001</v>
      </c>
      <c r="AB318">
        <v>169.3</v>
      </c>
      <c r="AC318">
        <v>162.4</v>
      </c>
      <c r="AD318">
        <v>165.2</v>
      </c>
      <c r="AE318">
        <v>167.6</v>
      </c>
    </row>
    <row r="319" spans="2:31" x14ac:dyDescent="0.3">
      <c r="B319" t="s">
        <v>33</v>
      </c>
      <c r="C319">
        <v>2021</v>
      </c>
      <c r="D319" t="s">
        <v>45</v>
      </c>
      <c r="E319">
        <v>151</v>
      </c>
      <c r="F319">
        <v>204.9</v>
      </c>
      <c r="G319">
        <v>175.4</v>
      </c>
      <c r="H319">
        <v>159.6</v>
      </c>
      <c r="I319">
        <v>175.8</v>
      </c>
      <c r="J319">
        <v>160.30000000000001</v>
      </c>
      <c r="K319">
        <v>229.1</v>
      </c>
      <c r="L319">
        <v>165.1</v>
      </c>
      <c r="M319">
        <v>123.1</v>
      </c>
      <c r="N319">
        <v>167.2</v>
      </c>
      <c r="O319">
        <v>156.1</v>
      </c>
      <c r="P319">
        <v>176.8</v>
      </c>
      <c r="Q319">
        <v>173.5</v>
      </c>
      <c r="R319">
        <v>197</v>
      </c>
      <c r="S319">
        <v>162.30000000000001</v>
      </c>
      <c r="T319">
        <v>145.30000000000001</v>
      </c>
      <c r="U319">
        <v>159.69999999999999</v>
      </c>
      <c r="V319">
        <v>164.2</v>
      </c>
      <c r="W319">
        <v>161.6</v>
      </c>
      <c r="X319">
        <v>155.19999999999999</v>
      </c>
      <c r="Y319">
        <v>164.2</v>
      </c>
      <c r="Z319">
        <v>151.19999999999999</v>
      </c>
      <c r="AA319">
        <v>156.69999999999999</v>
      </c>
      <c r="AB319">
        <v>160.80000000000001</v>
      </c>
      <c r="AC319">
        <v>161.80000000000001</v>
      </c>
      <c r="AD319">
        <v>157.30000000000001</v>
      </c>
      <c r="AE319">
        <v>165.6</v>
      </c>
    </row>
    <row r="320" spans="2:31" x14ac:dyDescent="0.3">
      <c r="B320" t="s">
        <v>34</v>
      </c>
      <c r="C320">
        <v>2021</v>
      </c>
      <c r="D320" t="s">
        <v>45</v>
      </c>
      <c r="E320">
        <v>148.19999999999999</v>
      </c>
      <c r="F320">
        <v>201.6</v>
      </c>
      <c r="G320">
        <v>173</v>
      </c>
      <c r="H320">
        <v>159.30000000000001</v>
      </c>
      <c r="I320">
        <v>190.1</v>
      </c>
      <c r="J320">
        <v>156.5</v>
      </c>
      <c r="K320">
        <v>199.2</v>
      </c>
      <c r="L320">
        <v>165.3</v>
      </c>
      <c r="M320">
        <v>122.4</v>
      </c>
      <c r="N320">
        <v>169.6</v>
      </c>
      <c r="O320">
        <v>163.69999999999999</v>
      </c>
      <c r="P320">
        <v>175.5</v>
      </c>
      <c r="Q320">
        <v>169.7</v>
      </c>
      <c r="R320">
        <v>192.9</v>
      </c>
      <c r="S320">
        <v>167.2</v>
      </c>
      <c r="T320">
        <v>157.4</v>
      </c>
      <c r="U320">
        <v>165.8</v>
      </c>
      <c r="V320">
        <v>164.2</v>
      </c>
      <c r="W320">
        <v>163.9</v>
      </c>
      <c r="X320">
        <v>159.30000000000001</v>
      </c>
      <c r="Y320">
        <v>169.9</v>
      </c>
      <c r="Z320">
        <v>154.80000000000001</v>
      </c>
      <c r="AA320">
        <v>159.80000000000001</v>
      </c>
      <c r="AB320">
        <v>164.3</v>
      </c>
      <c r="AC320">
        <v>162.19999999999999</v>
      </c>
      <c r="AD320">
        <v>161.4</v>
      </c>
      <c r="AE320">
        <v>166.7</v>
      </c>
    </row>
    <row r="321" spans="2:31" x14ac:dyDescent="0.3">
      <c r="B321" t="s">
        <v>30</v>
      </c>
      <c r="C321">
        <v>2021</v>
      </c>
      <c r="D321" t="s">
        <v>46</v>
      </c>
      <c r="E321">
        <v>147.4</v>
      </c>
      <c r="F321">
        <v>197</v>
      </c>
      <c r="G321">
        <v>176.5</v>
      </c>
      <c r="H321">
        <v>159.80000000000001</v>
      </c>
      <c r="I321">
        <v>195.8</v>
      </c>
      <c r="J321">
        <v>152</v>
      </c>
      <c r="K321">
        <v>172.3</v>
      </c>
      <c r="L321">
        <v>164.5</v>
      </c>
      <c r="M321">
        <v>120.6</v>
      </c>
      <c r="N321">
        <v>171.7</v>
      </c>
      <c r="O321">
        <v>169.7</v>
      </c>
      <c r="P321">
        <v>175.1</v>
      </c>
      <c r="Q321">
        <v>165.8</v>
      </c>
      <c r="R321">
        <v>190.8</v>
      </c>
      <c r="S321">
        <v>171.8</v>
      </c>
      <c r="T321">
        <v>167.3</v>
      </c>
      <c r="U321">
        <v>171.2</v>
      </c>
      <c r="V321" t="s">
        <v>32</v>
      </c>
      <c r="W321">
        <v>165.6</v>
      </c>
      <c r="X321">
        <v>163.9</v>
      </c>
      <c r="Y321">
        <v>174</v>
      </c>
      <c r="Z321">
        <v>160.1</v>
      </c>
      <c r="AA321">
        <v>164.5</v>
      </c>
      <c r="AB321">
        <v>169.7</v>
      </c>
      <c r="AC321">
        <v>162.80000000000001</v>
      </c>
      <c r="AD321">
        <v>166</v>
      </c>
      <c r="AE321">
        <v>167</v>
      </c>
    </row>
    <row r="322" spans="2:31" x14ac:dyDescent="0.3">
      <c r="B322" t="s">
        <v>33</v>
      </c>
      <c r="C322">
        <v>2021</v>
      </c>
      <c r="D322" t="s">
        <v>46</v>
      </c>
      <c r="E322">
        <v>151.6</v>
      </c>
      <c r="F322">
        <v>202.2</v>
      </c>
      <c r="G322">
        <v>180</v>
      </c>
      <c r="H322">
        <v>160</v>
      </c>
      <c r="I322">
        <v>173.5</v>
      </c>
      <c r="J322">
        <v>158.30000000000001</v>
      </c>
      <c r="K322">
        <v>219.5</v>
      </c>
      <c r="L322">
        <v>164.2</v>
      </c>
      <c r="M322">
        <v>121.9</v>
      </c>
      <c r="N322">
        <v>168.2</v>
      </c>
      <c r="O322">
        <v>156.5</v>
      </c>
      <c r="P322">
        <v>178.2</v>
      </c>
      <c r="Q322">
        <v>172.2</v>
      </c>
      <c r="R322">
        <v>196.8</v>
      </c>
      <c r="S322">
        <v>163.30000000000001</v>
      </c>
      <c r="T322">
        <v>146.69999999999999</v>
      </c>
      <c r="U322">
        <v>160.69999999999999</v>
      </c>
      <c r="V322">
        <v>163.4</v>
      </c>
      <c r="W322">
        <v>161.69999999999999</v>
      </c>
      <c r="X322">
        <v>156</v>
      </c>
      <c r="Y322">
        <v>165.1</v>
      </c>
      <c r="Z322">
        <v>151.80000000000001</v>
      </c>
      <c r="AA322">
        <v>157.6</v>
      </c>
      <c r="AB322">
        <v>160.6</v>
      </c>
      <c r="AC322">
        <v>162.4</v>
      </c>
      <c r="AD322">
        <v>157.80000000000001</v>
      </c>
      <c r="AE322">
        <v>165.2</v>
      </c>
    </row>
    <row r="323" spans="2:31" x14ac:dyDescent="0.3">
      <c r="B323" t="s">
        <v>34</v>
      </c>
      <c r="C323">
        <v>2021</v>
      </c>
      <c r="D323" t="s">
        <v>46</v>
      </c>
      <c r="E323">
        <v>148.69999999999999</v>
      </c>
      <c r="F323">
        <v>198.8</v>
      </c>
      <c r="G323">
        <v>177.9</v>
      </c>
      <c r="H323">
        <v>159.9</v>
      </c>
      <c r="I323">
        <v>187.6</v>
      </c>
      <c r="J323">
        <v>154.9</v>
      </c>
      <c r="K323">
        <v>188.3</v>
      </c>
      <c r="L323">
        <v>164.4</v>
      </c>
      <c r="M323">
        <v>121</v>
      </c>
      <c r="N323">
        <v>170.5</v>
      </c>
      <c r="O323">
        <v>164.2</v>
      </c>
      <c r="P323">
        <v>176.5</v>
      </c>
      <c r="Q323">
        <v>168.2</v>
      </c>
      <c r="R323">
        <v>192.4</v>
      </c>
      <c r="S323">
        <v>168.5</v>
      </c>
      <c r="T323">
        <v>158.69999999999999</v>
      </c>
      <c r="U323">
        <v>167</v>
      </c>
      <c r="V323">
        <v>163.4</v>
      </c>
      <c r="W323">
        <v>164.1</v>
      </c>
      <c r="X323">
        <v>160.19999999999999</v>
      </c>
      <c r="Y323">
        <v>170.6</v>
      </c>
      <c r="Z323">
        <v>155.69999999999999</v>
      </c>
      <c r="AA323">
        <v>160.6</v>
      </c>
      <c r="AB323">
        <v>164.4</v>
      </c>
      <c r="AC323">
        <v>162.6</v>
      </c>
      <c r="AD323">
        <v>162</v>
      </c>
      <c r="AE323">
        <v>166.2</v>
      </c>
    </row>
    <row r="324" spans="2:31" x14ac:dyDescent="0.3">
      <c r="B324" t="s">
        <v>30</v>
      </c>
      <c r="C324">
        <v>2022</v>
      </c>
      <c r="D324" t="s">
        <v>31</v>
      </c>
      <c r="E324">
        <v>148.30000000000001</v>
      </c>
      <c r="F324">
        <v>196.9</v>
      </c>
      <c r="G324">
        <v>178</v>
      </c>
      <c r="H324">
        <v>160.5</v>
      </c>
      <c r="I324">
        <v>192.6</v>
      </c>
      <c r="J324">
        <v>151.19999999999999</v>
      </c>
      <c r="K324">
        <v>159.19999999999999</v>
      </c>
      <c r="L324">
        <v>164</v>
      </c>
      <c r="M324">
        <v>119.3</v>
      </c>
      <c r="N324">
        <v>173.3</v>
      </c>
      <c r="O324">
        <v>169.8</v>
      </c>
      <c r="P324">
        <v>175.8</v>
      </c>
      <c r="Q324">
        <v>164.1</v>
      </c>
      <c r="R324">
        <v>190.7</v>
      </c>
      <c r="S324">
        <v>173.2</v>
      </c>
      <c r="T324">
        <v>169.3</v>
      </c>
      <c r="U324">
        <v>172.7</v>
      </c>
      <c r="V324" t="s">
        <v>32</v>
      </c>
      <c r="W324">
        <v>165.8</v>
      </c>
      <c r="X324">
        <v>164.9</v>
      </c>
      <c r="Y324">
        <v>174.7</v>
      </c>
      <c r="Z324">
        <v>160.80000000000001</v>
      </c>
      <c r="AA324">
        <v>164.9</v>
      </c>
      <c r="AB324">
        <v>169.9</v>
      </c>
      <c r="AC324">
        <v>163.19999999999999</v>
      </c>
      <c r="AD324">
        <v>166.6</v>
      </c>
      <c r="AE324">
        <v>166.4</v>
      </c>
    </row>
    <row r="325" spans="2:31" x14ac:dyDescent="0.3">
      <c r="B325" t="s">
        <v>33</v>
      </c>
      <c r="C325">
        <v>2022</v>
      </c>
      <c r="D325" t="s">
        <v>31</v>
      </c>
      <c r="E325">
        <v>152.19999999999999</v>
      </c>
      <c r="F325">
        <v>202.1</v>
      </c>
      <c r="G325">
        <v>180.1</v>
      </c>
      <c r="H325">
        <v>160.4</v>
      </c>
      <c r="I325">
        <v>171</v>
      </c>
      <c r="J325">
        <v>156.5</v>
      </c>
      <c r="K325">
        <v>203.6</v>
      </c>
      <c r="L325">
        <v>163.80000000000001</v>
      </c>
      <c r="M325">
        <v>121.3</v>
      </c>
      <c r="N325">
        <v>169.8</v>
      </c>
      <c r="O325">
        <v>156.6</v>
      </c>
      <c r="P325">
        <v>179</v>
      </c>
      <c r="Q325">
        <v>170.3</v>
      </c>
      <c r="R325">
        <v>196.4</v>
      </c>
      <c r="S325">
        <v>164.7</v>
      </c>
      <c r="T325">
        <v>148.5</v>
      </c>
      <c r="U325">
        <v>162.19999999999999</v>
      </c>
      <c r="V325">
        <v>164.5</v>
      </c>
      <c r="W325">
        <v>161.6</v>
      </c>
      <c r="X325">
        <v>156.80000000000001</v>
      </c>
      <c r="Y325">
        <v>166.1</v>
      </c>
      <c r="Z325">
        <v>152.69999999999999</v>
      </c>
      <c r="AA325">
        <v>158.4</v>
      </c>
      <c r="AB325">
        <v>161</v>
      </c>
      <c r="AC325">
        <v>162.80000000000001</v>
      </c>
      <c r="AD325">
        <v>158.6</v>
      </c>
      <c r="AE325">
        <v>165</v>
      </c>
    </row>
    <row r="326" spans="2:31" x14ac:dyDescent="0.3">
      <c r="B326" t="s">
        <v>34</v>
      </c>
      <c r="C326">
        <v>2022</v>
      </c>
      <c r="D326" t="s">
        <v>31</v>
      </c>
      <c r="E326">
        <v>149.5</v>
      </c>
      <c r="F326">
        <v>198.7</v>
      </c>
      <c r="G326">
        <v>178.8</v>
      </c>
      <c r="H326">
        <v>160.5</v>
      </c>
      <c r="I326">
        <v>184.7</v>
      </c>
      <c r="J326">
        <v>153.69999999999999</v>
      </c>
      <c r="K326">
        <v>174.3</v>
      </c>
      <c r="L326">
        <v>163.9</v>
      </c>
      <c r="M326">
        <v>120</v>
      </c>
      <c r="N326">
        <v>172.1</v>
      </c>
      <c r="O326">
        <v>164.3</v>
      </c>
      <c r="P326">
        <v>177.3</v>
      </c>
      <c r="Q326">
        <v>166.4</v>
      </c>
      <c r="R326">
        <v>192.2</v>
      </c>
      <c r="S326">
        <v>169.9</v>
      </c>
      <c r="T326">
        <v>160.69999999999999</v>
      </c>
      <c r="U326">
        <v>168.5</v>
      </c>
      <c r="V326">
        <v>164.5</v>
      </c>
      <c r="W326">
        <v>164.2</v>
      </c>
      <c r="X326">
        <v>161.1</v>
      </c>
      <c r="Y326">
        <v>171.4</v>
      </c>
      <c r="Z326">
        <v>156.5</v>
      </c>
      <c r="AA326">
        <v>161.19999999999999</v>
      </c>
      <c r="AB326">
        <v>164.7</v>
      </c>
      <c r="AC326">
        <v>163</v>
      </c>
      <c r="AD326">
        <v>162.69999999999999</v>
      </c>
      <c r="AE326">
        <v>165.7</v>
      </c>
    </row>
    <row r="327" spans="2:31" x14ac:dyDescent="0.3">
      <c r="B327" t="s">
        <v>30</v>
      </c>
      <c r="C327">
        <v>2022</v>
      </c>
      <c r="D327" t="s">
        <v>35</v>
      </c>
      <c r="E327">
        <v>148.80000000000001</v>
      </c>
      <c r="F327">
        <v>198.1</v>
      </c>
      <c r="G327">
        <v>175.5</v>
      </c>
      <c r="H327">
        <v>160.69999999999999</v>
      </c>
      <c r="I327">
        <v>192.6</v>
      </c>
      <c r="J327">
        <v>151.4</v>
      </c>
      <c r="K327">
        <v>155.19999999999999</v>
      </c>
      <c r="L327">
        <v>163.9</v>
      </c>
      <c r="M327">
        <v>118.1</v>
      </c>
      <c r="N327">
        <v>175.4</v>
      </c>
      <c r="O327">
        <v>170.5</v>
      </c>
      <c r="P327">
        <v>176.3</v>
      </c>
      <c r="Q327">
        <v>163.9</v>
      </c>
      <c r="R327">
        <v>191.5</v>
      </c>
      <c r="S327">
        <v>174.1</v>
      </c>
      <c r="T327">
        <v>171</v>
      </c>
      <c r="U327">
        <v>173.7</v>
      </c>
      <c r="V327" t="s">
        <v>32</v>
      </c>
      <c r="W327">
        <v>167.4</v>
      </c>
      <c r="X327">
        <v>165.7</v>
      </c>
      <c r="Y327">
        <v>175.3</v>
      </c>
      <c r="Z327">
        <v>161.19999999999999</v>
      </c>
      <c r="AA327">
        <v>165.5</v>
      </c>
      <c r="AB327">
        <v>170.3</v>
      </c>
      <c r="AC327">
        <v>164.5</v>
      </c>
      <c r="AD327">
        <v>167.3</v>
      </c>
      <c r="AE327">
        <v>166.7</v>
      </c>
    </row>
    <row r="328" spans="2:31" x14ac:dyDescent="0.3">
      <c r="B328" t="s">
        <v>33</v>
      </c>
      <c r="C328">
        <v>2022</v>
      </c>
      <c r="D328" t="s">
        <v>35</v>
      </c>
      <c r="E328">
        <v>152.5</v>
      </c>
      <c r="F328">
        <v>205.2</v>
      </c>
      <c r="G328">
        <v>176.4</v>
      </c>
      <c r="H328">
        <v>160.6</v>
      </c>
      <c r="I328">
        <v>171.5</v>
      </c>
      <c r="J328">
        <v>156.4</v>
      </c>
      <c r="K328">
        <v>198</v>
      </c>
      <c r="L328">
        <v>163.19999999999999</v>
      </c>
      <c r="M328">
        <v>120.6</v>
      </c>
      <c r="N328">
        <v>172.2</v>
      </c>
      <c r="O328">
        <v>156.69999999999999</v>
      </c>
      <c r="P328">
        <v>180</v>
      </c>
      <c r="Q328">
        <v>170.2</v>
      </c>
      <c r="R328">
        <v>196.5</v>
      </c>
      <c r="S328">
        <v>165.7</v>
      </c>
      <c r="T328">
        <v>150.4</v>
      </c>
      <c r="U328">
        <v>163.4</v>
      </c>
      <c r="V328">
        <v>165.5</v>
      </c>
      <c r="W328">
        <v>163</v>
      </c>
      <c r="X328">
        <v>157.4</v>
      </c>
      <c r="Y328">
        <v>167.2</v>
      </c>
      <c r="Z328">
        <v>153.1</v>
      </c>
      <c r="AA328">
        <v>159.5</v>
      </c>
      <c r="AB328">
        <v>162</v>
      </c>
      <c r="AC328">
        <v>164.2</v>
      </c>
      <c r="AD328">
        <v>159.4</v>
      </c>
      <c r="AE328">
        <v>165.5</v>
      </c>
    </row>
    <row r="329" spans="2:31" x14ac:dyDescent="0.3">
      <c r="B329" t="s">
        <v>34</v>
      </c>
      <c r="C329">
        <v>2022</v>
      </c>
      <c r="D329" t="s">
        <v>35</v>
      </c>
      <c r="E329">
        <v>150</v>
      </c>
      <c r="F329">
        <v>200.6</v>
      </c>
      <c r="G329">
        <v>175.8</v>
      </c>
      <c r="H329">
        <v>160.69999999999999</v>
      </c>
      <c r="I329">
        <v>184.9</v>
      </c>
      <c r="J329">
        <v>153.69999999999999</v>
      </c>
      <c r="K329">
        <v>169.7</v>
      </c>
      <c r="L329">
        <v>163.69999999999999</v>
      </c>
      <c r="M329">
        <v>118.9</v>
      </c>
      <c r="N329">
        <v>174.3</v>
      </c>
      <c r="O329">
        <v>164.7</v>
      </c>
      <c r="P329">
        <v>178</v>
      </c>
      <c r="Q329">
        <v>166.2</v>
      </c>
      <c r="R329">
        <v>192.8</v>
      </c>
      <c r="S329">
        <v>170.8</v>
      </c>
      <c r="T329">
        <v>162.4</v>
      </c>
      <c r="U329">
        <v>169.6</v>
      </c>
      <c r="V329">
        <v>165.5</v>
      </c>
      <c r="W329">
        <v>165.7</v>
      </c>
      <c r="X329">
        <v>161.80000000000001</v>
      </c>
      <c r="Y329">
        <v>172.2</v>
      </c>
      <c r="Z329">
        <v>156.9</v>
      </c>
      <c r="AA329">
        <v>162.1</v>
      </c>
      <c r="AB329">
        <v>165.4</v>
      </c>
      <c r="AC329">
        <v>164.4</v>
      </c>
      <c r="AD329">
        <v>163.5</v>
      </c>
      <c r="AE329">
        <v>166.1</v>
      </c>
    </row>
    <row r="330" spans="2:31" x14ac:dyDescent="0.3">
      <c r="B330" t="s">
        <v>30</v>
      </c>
      <c r="C330">
        <v>2022</v>
      </c>
      <c r="D330" t="s">
        <v>36</v>
      </c>
      <c r="E330">
        <v>150.19999999999999</v>
      </c>
      <c r="F330">
        <v>208</v>
      </c>
      <c r="G330">
        <v>167.9</v>
      </c>
      <c r="H330">
        <v>162</v>
      </c>
      <c r="I330">
        <v>203.1</v>
      </c>
      <c r="J330">
        <v>155.9</v>
      </c>
      <c r="K330">
        <v>155.80000000000001</v>
      </c>
      <c r="L330">
        <v>164.2</v>
      </c>
      <c r="M330">
        <v>118.1</v>
      </c>
      <c r="N330">
        <v>178.7</v>
      </c>
      <c r="O330">
        <v>171.2</v>
      </c>
      <c r="P330">
        <v>177.4</v>
      </c>
      <c r="Q330">
        <v>166.6</v>
      </c>
      <c r="R330">
        <v>192.3</v>
      </c>
      <c r="S330">
        <v>175.4</v>
      </c>
      <c r="T330">
        <v>173.2</v>
      </c>
      <c r="U330">
        <v>175.1</v>
      </c>
      <c r="V330" t="s">
        <v>32</v>
      </c>
      <c r="W330">
        <v>168.9</v>
      </c>
      <c r="X330">
        <v>166.5</v>
      </c>
      <c r="Y330">
        <v>176</v>
      </c>
      <c r="Z330">
        <v>162</v>
      </c>
      <c r="AA330">
        <v>166.6</v>
      </c>
      <c r="AB330">
        <v>170.6</v>
      </c>
      <c r="AC330">
        <v>167.4</v>
      </c>
      <c r="AD330">
        <v>168.3</v>
      </c>
      <c r="AE330">
        <v>168.7</v>
      </c>
    </row>
    <row r="331" spans="2:31" x14ac:dyDescent="0.3">
      <c r="B331" t="s">
        <v>33</v>
      </c>
      <c r="C331">
        <v>2022</v>
      </c>
      <c r="D331" t="s">
        <v>36</v>
      </c>
      <c r="E331">
        <v>153.69999999999999</v>
      </c>
      <c r="F331">
        <v>215.8</v>
      </c>
      <c r="G331">
        <v>167.7</v>
      </c>
      <c r="H331">
        <v>162.6</v>
      </c>
      <c r="I331">
        <v>180</v>
      </c>
      <c r="J331">
        <v>159.6</v>
      </c>
      <c r="K331">
        <v>188.4</v>
      </c>
      <c r="L331">
        <v>163.4</v>
      </c>
      <c r="M331">
        <v>120.3</v>
      </c>
      <c r="N331">
        <v>174.7</v>
      </c>
      <c r="O331">
        <v>157.1</v>
      </c>
      <c r="P331">
        <v>181.5</v>
      </c>
      <c r="Q331">
        <v>171.5</v>
      </c>
      <c r="R331">
        <v>197.5</v>
      </c>
      <c r="S331">
        <v>167.1</v>
      </c>
      <c r="T331">
        <v>152.6</v>
      </c>
      <c r="U331">
        <v>164.9</v>
      </c>
      <c r="V331">
        <v>165.3</v>
      </c>
      <c r="W331">
        <v>164.5</v>
      </c>
      <c r="X331">
        <v>158.6</v>
      </c>
      <c r="Y331">
        <v>168.2</v>
      </c>
      <c r="Z331">
        <v>154.19999999999999</v>
      </c>
      <c r="AA331">
        <v>160.80000000000001</v>
      </c>
      <c r="AB331">
        <v>162.69999999999999</v>
      </c>
      <c r="AC331">
        <v>166.8</v>
      </c>
      <c r="AD331">
        <v>160.6</v>
      </c>
      <c r="AE331">
        <v>166.5</v>
      </c>
    </row>
    <row r="332" spans="2:31" x14ac:dyDescent="0.3">
      <c r="B332" t="s">
        <v>34</v>
      </c>
      <c r="C332">
        <v>2022</v>
      </c>
      <c r="D332" t="s">
        <v>36</v>
      </c>
      <c r="E332">
        <v>151.30000000000001</v>
      </c>
      <c r="F332">
        <v>210.7</v>
      </c>
      <c r="G332">
        <v>167.8</v>
      </c>
      <c r="H332">
        <v>162.19999999999999</v>
      </c>
      <c r="I332">
        <v>194.6</v>
      </c>
      <c r="J332">
        <v>157.6</v>
      </c>
      <c r="K332">
        <v>166.9</v>
      </c>
      <c r="L332">
        <v>163.9</v>
      </c>
      <c r="M332">
        <v>118.8</v>
      </c>
      <c r="N332">
        <v>177.4</v>
      </c>
      <c r="O332">
        <v>165.3</v>
      </c>
      <c r="P332">
        <v>179.3</v>
      </c>
      <c r="Q332">
        <v>168.4</v>
      </c>
      <c r="R332">
        <v>193.7</v>
      </c>
      <c r="S332">
        <v>172.1</v>
      </c>
      <c r="T332">
        <v>164.6</v>
      </c>
      <c r="U332">
        <v>171.1</v>
      </c>
      <c r="V332">
        <v>165.3</v>
      </c>
      <c r="W332">
        <v>167.2</v>
      </c>
      <c r="X332">
        <v>162.80000000000001</v>
      </c>
      <c r="Y332">
        <v>173</v>
      </c>
      <c r="Z332">
        <v>157.9</v>
      </c>
      <c r="AA332">
        <v>163.30000000000001</v>
      </c>
      <c r="AB332">
        <v>166</v>
      </c>
      <c r="AC332">
        <v>167.2</v>
      </c>
      <c r="AD332">
        <v>164.6</v>
      </c>
      <c r="AE332">
        <v>167.7</v>
      </c>
    </row>
    <row r="333" spans="2:31" x14ac:dyDescent="0.3">
      <c r="B333" t="s">
        <v>30</v>
      </c>
      <c r="C333">
        <v>2022</v>
      </c>
      <c r="D333" t="s">
        <v>37</v>
      </c>
      <c r="E333">
        <v>151.80000000000001</v>
      </c>
      <c r="F333">
        <v>209.7</v>
      </c>
      <c r="G333">
        <v>164.5</v>
      </c>
      <c r="H333">
        <v>163.80000000000001</v>
      </c>
      <c r="I333">
        <v>207.4</v>
      </c>
      <c r="J333">
        <v>169.7</v>
      </c>
      <c r="K333">
        <v>153.6</v>
      </c>
      <c r="L333">
        <v>165.1</v>
      </c>
      <c r="M333">
        <v>118.2</v>
      </c>
      <c r="N333">
        <v>182.9</v>
      </c>
      <c r="O333">
        <v>172.4</v>
      </c>
      <c r="P333">
        <v>178.9</v>
      </c>
      <c r="Q333">
        <v>168.6</v>
      </c>
      <c r="R333">
        <v>192.8</v>
      </c>
      <c r="S333">
        <v>177.5</v>
      </c>
      <c r="T333">
        <v>175.1</v>
      </c>
      <c r="U333">
        <v>177.1</v>
      </c>
      <c r="V333" t="s">
        <v>32</v>
      </c>
      <c r="W333">
        <v>173.3</v>
      </c>
      <c r="X333">
        <v>167.7</v>
      </c>
      <c r="Y333">
        <v>177</v>
      </c>
      <c r="Z333">
        <v>166.2</v>
      </c>
      <c r="AA333">
        <v>167.2</v>
      </c>
      <c r="AB333">
        <v>170.9</v>
      </c>
      <c r="AC333">
        <v>169</v>
      </c>
      <c r="AD333">
        <v>170.2</v>
      </c>
      <c r="AE333">
        <v>170.8</v>
      </c>
    </row>
    <row r="334" spans="2:31" x14ac:dyDescent="0.3">
      <c r="B334" t="s">
        <v>33</v>
      </c>
      <c r="C334">
        <v>2022</v>
      </c>
      <c r="D334" t="s">
        <v>37</v>
      </c>
      <c r="E334">
        <v>155.4</v>
      </c>
      <c r="F334">
        <v>215.8</v>
      </c>
      <c r="G334">
        <v>164.6</v>
      </c>
      <c r="H334">
        <v>164.2</v>
      </c>
      <c r="I334">
        <v>186</v>
      </c>
      <c r="J334">
        <v>175.9</v>
      </c>
      <c r="K334">
        <v>190.7</v>
      </c>
      <c r="L334">
        <v>164</v>
      </c>
      <c r="M334">
        <v>120.5</v>
      </c>
      <c r="N334">
        <v>178</v>
      </c>
      <c r="O334">
        <v>157.5</v>
      </c>
      <c r="P334">
        <v>183.3</v>
      </c>
      <c r="Q334">
        <v>174.5</v>
      </c>
      <c r="R334">
        <v>197.1</v>
      </c>
      <c r="S334">
        <v>168.4</v>
      </c>
      <c r="T334">
        <v>154.5</v>
      </c>
      <c r="U334">
        <v>166.3</v>
      </c>
      <c r="V334">
        <v>167</v>
      </c>
      <c r="W334">
        <v>170.5</v>
      </c>
      <c r="X334">
        <v>159.80000000000001</v>
      </c>
      <c r="Y334">
        <v>169</v>
      </c>
      <c r="Z334">
        <v>159.30000000000001</v>
      </c>
      <c r="AA334">
        <v>162.19999999999999</v>
      </c>
      <c r="AB334">
        <v>164</v>
      </c>
      <c r="AC334">
        <v>168.4</v>
      </c>
      <c r="AD334">
        <v>163.1</v>
      </c>
      <c r="AE334">
        <v>169.2</v>
      </c>
    </row>
    <row r="335" spans="2:31" x14ac:dyDescent="0.3">
      <c r="B335" t="s">
        <v>34</v>
      </c>
      <c r="C335">
        <v>2022</v>
      </c>
      <c r="D335" t="s">
        <v>37</v>
      </c>
      <c r="E335">
        <v>152.9</v>
      </c>
      <c r="F335">
        <v>211.8</v>
      </c>
      <c r="G335">
        <v>164.5</v>
      </c>
      <c r="H335">
        <v>163.9</v>
      </c>
      <c r="I335">
        <v>199.5</v>
      </c>
      <c r="J335">
        <v>172.6</v>
      </c>
      <c r="K335">
        <v>166.2</v>
      </c>
      <c r="L335">
        <v>164.7</v>
      </c>
      <c r="M335">
        <v>119</v>
      </c>
      <c r="N335">
        <v>181.3</v>
      </c>
      <c r="O335">
        <v>166.2</v>
      </c>
      <c r="P335">
        <v>180.9</v>
      </c>
      <c r="Q335">
        <v>170.8</v>
      </c>
      <c r="R335">
        <v>193.9</v>
      </c>
      <c r="S335">
        <v>173.9</v>
      </c>
      <c r="T335">
        <v>166.5</v>
      </c>
      <c r="U335">
        <v>172.8</v>
      </c>
      <c r="V335">
        <v>167</v>
      </c>
      <c r="W335">
        <v>172.2</v>
      </c>
      <c r="X335">
        <v>164</v>
      </c>
      <c r="Y335">
        <v>174</v>
      </c>
      <c r="Z335">
        <v>162.6</v>
      </c>
      <c r="AA335">
        <v>164.4</v>
      </c>
      <c r="AB335">
        <v>166.9</v>
      </c>
      <c r="AC335">
        <v>168.8</v>
      </c>
      <c r="AD335">
        <v>166.8</v>
      </c>
      <c r="AE335">
        <v>170.1</v>
      </c>
    </row>
    <row r="336" spans="2:31" x14ac:dyDescent="0.3">
      <c r="B336" t="s">
        <v>30</v>
      </c>
      <c r="C336">
        <v>2022</v>
      </c>
      <c r="D336" t="s">
        <v>38</v>
      </c>
      <c r="E336">
        <v>152.9</v>
      </c>
      <c r="F336">
        <v>214.7</v>
      </c>
      <c r="G336">
        <v>161.4</v>
      </c>
      <c r="H336">
        <v>164.6</v>
      </c>
      <c r="I336">
        <v>209.9</v>
      </c>
      <c r="J336">
        <v>168</v>
      </c>
      <c r="K336">
        <v>160.4</v>
      </c>
      <c r="L336">
        <v>165</v>
      </c>
      <c r="M336">
        <v>118.9</v>
      </c>
      <c r="N336">
        <v>186.6</v>
      </c>
      <c r="O336">
        <v>173.2</v>
      </c>
      <c r="P336">
        <v>180.4</v>
      </c>
      <c r="Q336">
        <v>170.8</v>
      </c>
      <c r="R336">
        <v>192.9</v>
      </c>
      <c r="S336">
        <v>179.3</v>
      </c>
      <c r="T336">
        <v>177.2</v>
      </c>
      <c r="U336">
        <v>179</v>
      </c>
      <c r="V336" t="s">
        <v>32</v>
      </c>
      <c r="W336">
        <v>175.3</v>
      </c>
      <c r="X336">
        <v>168.9</v>
      </c>
      <c r="Y336">
        <v>177.7</v>
      </c>
      <c r="Z336">
        <v>167.1</v>
      </c>
      <c r="AA336">
        <v>167.6</v>
      </c>
      <c r="AB336">
        <v>171.8</v>
      </c>
      <c r="AC336">
        <v>168.5</v>
      </c>
      <c r="AD336">
        <v>170.9</v>
      </c>
      <c r="AE336">
        <v>172.5</v>
      </c>
    </row>
    <row r="337" spans="2:31" x14ac:dyDescent="0.3">
      <c r="B337" t="s">
        <v>33</v>
      </c>
      <c r="C337">
        <v>2022</v>
      </c>
      <c r="D337" t="s">
        <v>38</v>
      </c>
      <c r="E337">
        <v>156.69999999999999</v>
      </c>
      <c r="F337">
        <v>221.2</v>
      </c>
      <c r="G337">
        <v>164.1</v>
      </c>
      <c r="H337">
        <v>165.4</v>
      </c>
      <c r="I337">
        <v>189.5</v>
      </c>
      <c r="J337">
        <v>174.5</v>
      </c>
      <c r="K337">
        <v>203.2</v>
      </c>
      <c r="L337">
        <v>164.1</v>
      </c>
      <c r="M337">
        <v>121.2</v>
      </c>
      <c r="N337">
        <v>181.4</v>
      </c>
      <c r="O337">
        <v>158.5</v>
      </c>
      <c r="P337">
        <v>184.9</v>
      </c>
      <c r="Q337">
        <v>177.5</v>
      </c>
      <c r="R337">
        <v>197.5</v>
      </c>
      <c r="S337">
        <v>170</v>
      </c>
      <c r="T337">
        <v>155.9</v>
      </c>
      <c r="U337">
        <v>167.8</v>
      </c>
      <c r="V337">
        <v>167.5</v>
      </c>
      <c r="W337">
        <v>173.5</v>
      </c>
      <c r="X337">
        <v>161.1</v>
      </c>
      <c r="Y337">
        <v>170.1</v>
      </c>
      <c r="Z337">
        <v>159.4</v>
      </c>
      <c r="AA337">
        <v>163.19999999999999</v>
      </c>
      <c r="AB337">
        <v>165.2</v>
      </c>
      <c r="AC337">
        <v>168.2</v>
      </c>
      <c r="AD337">
        <v>163.80000000000001</v>
      </c>
      <c r="AE337">
        <v>170.8</v>
      </c>
    </row>
    <row r="338" spans="2:31" x14ac:dyDescent="0.3">
      <c r="B338" t="s">
        <v>34</v>
      </c>
      <c r="C338">
        <v>2022</v>
      </c>
      <c r="D338" t="s">
        <v>38</v>
      </c>
      <c r="E338">
        <v>154.1</v>
      </c>
      <c r="F338">
        <v>217</v>
      </c>
      <c r="G338">
        <v>162.4</v>
      </c>
      <c r="H338">
        <v>164.9</v>
      </c>
      <c r="I338">
        <v>202.4</v>
      </c>
      <c r="J338">
        <v>171</v>
      </c>
      <c r="K338">
        <v>174.9</v>
      </c>
      <c r="L338">
        <v>164.7</v>
      </c>
      <c r="M338">
        <v>119.7</v>
      </c>
      <c r="N338">
        <v>184.9</v>
      </c>
      <c r="O338">
        <v>167.1</v>
      </c>
      <c r="P338">
        <v>182.5</v>
      </c>
      <c r="Q338">
        <v>173.3</v>
      </c>
      <c r="R338">
        <v>194.1</v>
      </c>
      <c r="S338">
        <v>175.6</v>
      </c>
      <c r="T338">
        <v>168.4</v>
      </c>
      <c r="U338">
        <v>174.6</v>
      </c>
      <c r="V338">
        <v>167.5</v>
      </c>
      <c r="W338">
        <v>174.6</v>
      </c>
      <c r="X338">
        <v>165.2</v>
      </c>
      <c r="Y338">
        <v>174.8</v>
      </c>
      <c r="Z338">
        <v>163</v>
      </c>
      <c r="AA338">
        <v>165.1</v>
      </c>
      <c r="AB338">
        <v>167.9</v>
      </c>
      <c r="AC338">
        <v>168.4</v>
      </c>
      <c r="AD338">
        <v>167.5</v>
      </c>
      <c r="AE338">
        <v>171.7</v>
      </c>
    </row>
    <row r="339" spans="2:31" x14ac:dyDescent="0.3">
      <c r="B339" t="s">
        <v>30</v>
      </c>
      <c r="C339">
        <v>2022</v>
      </c>
      <c r="D339" t="s">
        <v>39</v>
      </c>
      <c r="E339">
        <v>153.80000000000001</v>
      </c>
      <c r="F339">
        <v>217.2</v>
      </c>
      <c r="G339">
        <v>169.6</v>
      </c>
      <c r="H339">
        <v>165.4</v>
      </c>
      <c r="I339">
        <v>208.1</v>
      </c>
      <c r="J339">
        <v>165.8</v>
      </c>
      <c r="K339">
        <v>167.3</v>
      </c>
      <c r="L339">
        <v>164.6</v>
      </c>
      <c r="M339">
        <v>119.1</v>
      </c>
      <c r="N339">
        <v>188.9</v>
      </c>
      <c r="O339">
        <v>174.2</v>
      </c>
      <c r="P339">
        <v>181.9</v>
      </c>
      <c r="Q339">
        <v>172.4</v>
      </c>
      <c r="R339">
        <v>192.9</v>
      </c>
      <c r="S339">
        <v>180.7</v>
      </c>
      <c r="T339">
        <v>178.7</v>
      </c>
      <c r="U339">
        <v>180.4</v>
      </c>
      <c r="V339" t="s">
        <v>32</v>
      </c>
      <c r="W339">
        <v>176.7</v>
      </c>
      <c r="X339">
        <v>170.3</v>
      </c>
      <c r="Y339">
        <v>178.2</v>
      </c>
      <c r="Z339">
        <v>165.5</v>
      </c>
      <c r="AA339">
        <v>168</v>
      </c>
      <c r="AB339">
        <v>172.6</v>
      </c>
      <c r="AC339">
        <v>169.5</v>
      </c>
      <c r="AD339">
        <v>171</v>
      </c>
      <c r="AE339">
        <v>173.6</v>
      </c>
    </row>
    <row r="340" spans="2:31" x14ac:dyDescent="0.3">
      <c r="B340" t="s">
        <v>33</v>
      </c>
      <c r="C340">
        <v>2022</v>
      </c>
      <c r="D340" t="s">
        <v>39</v>
      </c>
      <c r="E340">
        <v>157.5</v>
      </c>
      <c r="F340">
        <v>223.4</v>
      </c>
      <c r="G340">
        <v>172.8</v>
      </c>
      <c r="H340">
        <v>166.4</v>
      </c>
      <c r="I340">
        <v>188.6</v>
      </c>
      <c r="J340">
        <v>174.1</v>
      </c>
      <c r="K340">
        <v>211.5</v>
      </c>
      <c r="L340">
        <v>163.6</v>
      </c>
      <c r="M340">
        <v>121.4</v>
      </c>
      <c r="N340">
        <v>183.5</v>
      </c>
      <c r="O340">
        <v>159.1</v>
      </c>
      <c r="P340">
        <v>186.3</v>
      </c>
      <c r="Q340">
        <v>179.3</v>
      </c>
      <c r="R340">
        <v>198.3</v>
      </c>
      <c r="S340">
        <v>171.6</v>
      </c>
      <c r="T340">
        <v>157.4</v>
      </c>
      <c r="U340">
        <v>169.4</v>
      </c>
      <c r="V340">
        <v>166.8</v>
      </c>
      <c r="W340">
        <v>174.9</v>
      </c>
      <c r="X340">
        <v>162.1</v>
      </c>
      <c r="Y340">
        <v>170.9</v>
      </c>
      <c r="Z340">
        <v>157.19999999999999</v>
      </c>
      <c r="AA340">
        <v>164.1</v>
      </c>
      <c r="AB340">
        <v>166.5</v>
      </c>
      <c r="AC340">
        <v>169.2</v>
      </c>
      <c r="AD340">
        <v>163.80000000000001</v>
      </c>
      <c r="AE340">
        <v>171.4</v>
      </c>
    </row>
    <row r="341" spans="2:31" x14ac:dyDescent="0.3">
      <c r="B341" t="s">
        <v>34</v>
      </c>
      <c r="C341">
        <v>2022</v>
      </c>
      <c r="D341" t="s">
        <v>39</v>
      </c>
      <c r="E341">
        <v>155</v>
      </c>
      <c r="F341">
        <v>219.4</v>
      </c>
      <c r="G341">
        <v>170.8</v>
      </c>
      <c r="H341">
        <v>165.8</v>
      </c>
      <c r="I341">
        <v>200.9</v>
      </c>
      <c r="J341">
        <v>169.7</v>
      </c>
      <c r="K341">
        <v>182.3</v>
      </c>
      <c r="L341">
        <v>164.3</v>
      </c>
      <c r="M341">
        <v>119.9</v>
      </c>
      <c r="N341">
        <v>187.1</v>
      </c>
      <c r="O341">
        <v>167.9</v>
      </c>
      <c r="P341">
        <v>183.9</v>
      </c>
      <c r="Q341">
        <v>174.9</v>
      </c>
      <c r="R341">
        <v>194.3</v>
      </c>
      <c r="S341">
        <v>177.1</v>
      </c>
      <c r="T341">
        <v>169.9</v>
      </c>
      <c r="U341">
        <v>176</v>
      </c>
      <c r="V341">
        <v>166.8</v>
      </c>
      <c r="W341">
        <v>176</v>
      </c>
      <c r="X341">
        <v>166.4</v>
      </c>
      <c r="Y341">
        <v>175.4</v>
      </c>
      <c r="Z341">
        <v>161.1</v>
      </c>
      <c r="AA341">
        <v>165.8</v>
      </c>
      <c r="AB341">
        <v>169</v>
      </c>
      <c r="AC341">
        <v>169.4</v>
      </c>
      <c r="AD341">
        <v>167.5</v>
      </c>
      <c r="AE341">
        <v>172.6</v>
      </c>
    </row>
    <row r="342" spans="2:31" x14ac:dyDescent="0.3">
      <c r="B342" t="s">
        <v>30</v>
      </c>
      <c r="C342">
        <v>2022</v>
      </c>
      <c r="D342" t="s">
        <v>40</v>
      </c>
      <c r="E342">
        <v>155.19999999999999</v>
      </c>
      <c r="F342">
        <v>210.8</v>
      </c>
      <c r="G342">
        <v>174.3</v>
      </c>
      <c r="H342">
        <v>166.3</v>
      </c>
      <c r="I342">
        <v>202.2</v>
      </c>
      <c r="J342">
        <v>169.6</v>
      </c>
      <c r="K342">
        <v>168.6</v>
      </c>
      <c r="L342">
        <v>164.4</v>
      </c>
      <c r="M342">
        <v>119.2</v>
      </c>
      <c r="N342">
        <v>191.8</v>
      </c>
      <c r="O342">
        <v>174.5</v>
      </c>
      <c r="P342">
        <v>183.1</v>
      </c>
      <c r="Q342">
        <v>172.5</v>
      </c>
      <c r="R342">
        <v>193.2</v>
      </c>
      <c r="S342">
        <v>182</v>
      </c>
      <c r="T342">
        <v>180.3</v>
      </c>
      <c r="U342">
        <v>181.7</v>
      </c>
      <c r="V342" t="s">
        <v>32</v>
      </c>
      <c r="W342">
        <v>179.6</v>
      </c>
      <c r="X342">
        <v>171.3</v>
      </c>
      <c r="Y342">
        <v>178.8</v>
      </c>
      <c r="Z342">
        <v>166.3</v>
      </c>
      <c r="AA342">
        <v>168.6</v>
      </c>
      <c r="AB342">
        <v>174.7</v>
      </c>
      <c r="AC342">
        <v>169.7</v>
      </c>
      <c r="AD342">
        <v>171.8</v>
      </c>
      <c r="AE342">
        <v>174.3</v>
      </c>
    </row>
    <row r="343" spans="2:31" x14ac:dyDescent="0.3">
      <c r="B343" t="s">
        <v>33</v>
      </c>
      <c r="C343">
        <v>2022</v>
      </c>
      <c r="D343" t="s">
        <v>40</v>
      </c>
      <c r="E343">
        <v>159.30000000000001</v>
      </c>
      <c r="F343">
        <v>217.1</v>
      </c>
      <c r="G343">
        <v>176.6</v>
      </c>
      <c r="H343">
        <v>167.1</v>
      </c>
      <c r="I343">
        <v>184.8</v>
      </c>
      <c r="J343">
        <v>179.5</v>
      </c>
      <c r="K343">
        <v>208.5</v>
      </c>
      <c r="L343">
        <v>164</v>
      </c>
      <c r="M343">
        <v>121.5</v>
      </c>
      <c r="N343">
        <v>186.3</v>
      </c>
      <c r="O343">
        <v>159.80000000000001</v>
      </c>
      <c r="P343">
        <v>187.7</v>
      </c>
      <c r="Q343">
        <v>179.4</v>
      </c>
      <c r="R343">
        <v>198.6</v>
      </c>
      <c r="S343">
        <v>172.7</v>
      </c>
      <c r="T343">
        <v>158.69999999999999</v>
      </c>
      <c r="U343">
        <v>170.6</v>
      </c>
      <c r="V343">
        <v>167.8</v>
      </c>
      <c r="W343">
        <v>179.5</v>
      </c>
      <c r="X343">
        <v>163.1</v>
      </c>
      <c r="Y343">
        <v>171.7</v>
      </c>
      <c r="Z343">
        <v>157.4</v>
      </c>
      <c r="AA343">
        <v>164.6</v>
      </c>
      <c r="AB343">
        <v>169.1</v>
      </c>
      <c r="AC343">
        <v>169.8</v>
      </c>
      <c r="AD343">
        <v>164.7</v>
      </c>
      <c r="AE343">
        <v>172.3</v>
      </c>
    </row>
    <row r="344" spans="2:31" x14ac:dyDescent="0.3">
      <c r="B344" t="s">
        <v>34</v>
      </c>
      <c r="C344">
        <v>2022</v>
      </c>
      <c r="D344" t="s">
        <v>40</v>
      </c>
      <c r="E344">
        <v>156.5</v>
      </c>
      <c r="F344">
        <v>213</v>
      </c>
      <c r="G344">
        <v>175.2</v>
      </c>
      <c r="H344">
        <v>166.6</v>
      </c>
      <c r="I344">
        <v>195.8</v>
      </c>
      <c r="J344">
        <v>174.2</v>
      </c>
      <c r="K344">
        <v>182.1</v>
      </c>
      <c r="L344">
        <v>164.3</v>
      </c>
      <c r="M344">
        <v>120</v>
      </c>
      <c r="N344">
        <v>190</v>
      </c>
      <c r="O344">
        <v>168.4</v>
      </c>
      <c r="P344">
        <v>185.2</v>
      </c>
      <c r="Q344">
        <v>175</v>
      </c>
      <c r="R344">
        <v>194.6</v>
      </c>
      <c r="S344">
        <v>178.3</v>
      </c>
      <c r="T344">
        <v>171.3</v>
      </c>
      <c r="U344">
        <v>177.3</v>
      </c>
      <c r="V344">
        <v>167.8</v>
      </c>
      <c r="W344">
        <v>179.6</v>
      </c>
      <c r="X344">
        <v>167.4</v>
      </c>
      <c r="Y344">
        <v>176.1</v>
      </c>
      <c r="Z344">
        <v>161.6</v>
      </c>
      <c r="AA344">
        <v>166.3</v>
      </c>
      <c r="AB344">
        <v>171.4</v>
      </c>
      <c r="AC344">
        <v>169.7</v>
      </c>
      <c r="AD344">
        <v>168.4</v>
      </c>
      <c r="AE344">
        <v>173.4</v>
      </c>
    </row>
    <row r="345" spans="2:31" x14ac:dyDescent="0.3">
      <c r="B345" t="s">
        <v>30</v>
      </c>
      <c r="C345">
        <v>2022</v>
      </c>
      <c r="D345" t="s">
        <v>41</v>
      </c>
      <c r="E345">
        <v>159.5</v>
      </c>
      <c r="F345">
        <v>204.1</v>
      </c>
      <c r="G345">
        <v>168.3</v>
      </c>
      <c r="H345">
        <v>167.9</v>
      </c>
      <c r="I345">
        <v>198.1</v>
      </c>
      <c r="J345">
        <v>169.2</v>
      </c>
      <c r="K345">
        <v>173.1</v>
      </c>
      <c r="L345">
        <v>167.1</v>
      </c>
      <c r="M345">
        <v>120.2</v>
      </c>
      <c r="N345">
        <v>195.6</v>
      </c>
      <c r="O345">
        <v>174.8</v>
      </c>
      <c r="P345">
        <v>184</v>
      </c>
      <c r="Q345">
        <v>173.9</v>
      </c>
      <c r="R345">
        <v>193.7</v>
      </c>
      <c r="S345">
        <v>183.2</v>
      </c>
      <c r="T345">
        <v>181.7</v>
      </c>
      <c r="U345">
        <v>183</v>
      </c>
      <c r="V345" t="s">
        <v>32</v>
      </c>
      <c r="W345">
        <v>179.1</v>
      </c>
      <c r="X345">
        <v>172.3</v>
      </c>
      <c r="Y345">
        <v>179.4</v>
      </c>
      <c r="Z345">
        <v>166.6</v>
      </c>
      <c r="AA345">
        <v>169.3</v>
      </c>
      <c r="AB345">
        <v>175.7</v>
      </c>
      <c r="AC345">
        <v>171.1</v>
      </c>
      <c r="AD345">
        <v>172.6</v>
      </c>
      <c r="AE345">
        <v>175.3</v>
      </c>
    </row>
    <row r="346" spans="2:31" x14ac:dyDescent="0.3">
      <c r="B346" t="s">
        <v>33</v>
      </c>
      <c r="C346">
        <v>2022</v>
      </c>
      <c r="D346" t="s">
        <v>41</v>
      </c>
      <c r="E346">
        <v>162.1</v>
      </c>
      <c r="F346">
        <v>210.9</v>
      </c>
      <c r="G346">
        <v>170.6</v>
      </c>
      <c r="H346">
        <v>168.4</v>
      </c>
      <c r="I346">
        <v>182.5</v>
      </c>
      <c r="J346">
        <v>177.1</v>
      </c>
      <c r="K346">
        <v>213.1</v>
      </c>
      <c r="L346">
        <v>167.3</v>
      </c>
      <c r="M346">
        <v>122.2</v>
      </c>
      <c r="N346">
        <v>189.7</v>
      </c>
      <c r="O346">
        <v>160.5</v>
      </c>
      <c r="P346">
        <v>188.9</v>
      </c>
      <c r="Q346">
        <v>180.4</v>
      </c>
      <c r="R346">
        <v>198.7</v>
      </c>
      <c r="S346">
        <v>173.7</v>
      </c>
      <c r="T346">
        <v>160</v>
      </c>
      <c r="U346">
        <v>171.6</v>
      </c>
      <c r="V346">
        <v>169</v>
      </c>
      <c r="W346">
        <v>178.4</v>
      </c>
      <c r="X346">
        <v>164.2</v>
      </c>
      <c r="Y346">
        <v>172.6</v>
      </c>
      <c r="Z346">
        <v>157.69999999999999</v>
      </c>
      <c r="AA346">
        <v>165.1</v>
      </c>
      <c r="AB346">
        <v>169.9</v>
      </c>
      <c r="AC346">
        <v>171.4</v>
      </c>
      <c r="AD346">
        <v>165.4</v>
      </c>
      <c r="AE346">
        <v>173.1</v>
      </c>
    </row>
    <row r="347" spans="2:31" x14ac:dyDescent="0.3">
      <c r="B347" t="s">
        <v>34</v>
      </c>
      <c r="C347">
        <v>2022</v>
      </c>
      <c r="D347" t="s">
        <v>41</v>
      </c>
      <c r="E347">
        <v>160.30000000000001</v>
      </c>
      <c r="F347">
        <v>206.5</v>
      </c>
      <c r="G347">
        <v>169.2</v>
      </c>
      <c r="H347">
        <v>168.1</v>
      </c>
      <c r="I347">
        <v>192.4</v>
      </c>
      <c r="J347">
        <v>172.9</v>
      </c>
      <c r="K347">
        <v>186.7</v>
      </c>
      <c r="L347">
        <v>167.2</v>
      </c>
      <c r="M347">
        <v>120.9</v>
      </c>
      <c r="N347">
        <v>193.6</v>
      </c>
      <c r="O347">
        <v>168.8</v>
      </c>
      <c r="P347">
        <v>186.3</v>
      </c>
      <c r="Q347">
        <v>176.3</v>
      </c>
      <c r="R347">
        <v>195</v>
      </c>
      <c r="S347">
        <v>179.5</v>
      </c>
      <c r="T347">
        <v>172.7</v>
      </c>
      <c r="U347">
        <v>178.5</v>
      </c>
      <c r="V347">
        <v>169</v>
      </c>
      <c r="W347">
        <v>178.8</v>
      </c>
      <c r="X347">
        <v>168.5</v>
      </c>
      <c r="Y347">
        <v>176.8</v>
      </c>
      <c r="Z347">
        <v>161.9</v>
      </c>
      <c r="AA347">
        <v>166.9</v>
      </c>
      <c r="AB347">
        <v>172.3</v>
      </c>
      <c r="AC347">
        <v>171.2</v>
      </c>
      <c r="AD347">
        <v>169.1</v>
      </c>
      <c r="AE347">
        <v>174.3</v>
      </c>
    </row>
    <row r="348" spans="2:31" x14ac:dyDescent="0.3">
      <c r="B348" t="s">
        <v>30</v>
      </c>
      <c r="C348">
        <v>2022</v>
      </c>
      <c r="D348" t="s">
        <v>42</v>
      </c>
      <c r="E348">
        <v>162.9</v>
      </c>
      <c r="F348">
        <v>206.7</v>
      </c>
      <c r="G348">
        <v>169</v>
      </c>
      <c r="H348">
        <v>169.5</v>
      </c>
      <c r="I348">
        <v>194.1</v>
      </c>
      <c r="J348">
        <v>164.1</v>
      </c>
      <c r="K348">
        <v>176.9</v>
      </c>
      <c r="L348">
        <v>169</v>
      </c>
      <c r="M348">
        <v>120.8</v>
      </c>
      <c r="N348">
        <v>199.1</v>
      </c>
      <c r="O348">
        <v>175.4</v>
      </c>
      <c r="P348">
        <v>184.8</v>
      </c>
      <c r="Q348">
        <v>175.5</v>
      </c>
      <c r="R348">
        <v>194.5</v>
      </c>
      <c r="S348">
        <v>184.7</v>
      </c>
      <c r="T348">
        <v>183.3</v>
      </c>
      <c r="U348">
        <v>184.5</v>
      </c>
      <c r="V348" t="s">
        <v>32</v>
      </c>
      <c r="W348">
        <v>179.7</v>
      </c>
      <c r="X348">
        <v>173.6</v>
      </c>
      <c r="Y348">
        <v>180.2</v>
      </c>
      <c r="Z348">
        <v>166.9</v>
      </c>
      <c r="AA348">
        <v>170</v>
      </c>
      <c r="AB348">
        <v>176.2</v>
      </c>
      <c r="AC348">
        <v>170.8</v>
      </c>
      <c r="AD348">
        <v>173.1</v>
      </c>
      <c r="AE348">
        <v>176.4</v>
      </c>
    </row>
    <row r="349" spans="2:31" x14ac:dyDescent="0.3">
      <c r="B349" t="s">
        <v>33</v>
      </c>
      <c r="C349">
        <v>2022</v>
      </c>
      <c r="D349" t="s">
        <v>42</v>
      </c>
      <c r="E349">
        <v>164.9</v>
      </c>
      <c r="F349">
        <v>213.7</v>
      </c>
      <c r="G349">
        <v>170.9</v>
      </c>
      <c r="H349">
        <v>170.1</v>
      </c>
      <c r="I349">
        <v>179.3</v>
      </c>
      <c r="J349">
        <v>167.5</v>
      </c>
      <c r="K349">
        <v>220.8</v>
      </c>
      <c r="L349">
        <v>169.2</v>
      </c>
      <c r="M349">
        <v>123.1</v>
      </c>
      <c r="N349">
        <v>193.6</v>
      </c>
      <c r="O349">
        <v>161.1</v>
      </c>
      <c r="P349">
        <v>190.4</v>
      </c>
      <c r="Q349">
        <v>181.8</v>
      </c>
      <c r="R349">
        <v>199.7</v>
      </c>
      <c r="S349">
        <v>175</v>
      </c>
      <c r="T349">
        <v>161.69999999999999</v>
      </c>
      <c r="U349">
        <v>173</v>
      </c>
      <c r="V349">
        <v>169.5</v>
      </c>
      <c r="W349">
        <v>179.2</v>
      </c>
      <c r="X349">
        <v>165</v>
      </c>
      <c r="Y349">
        <v>173.8</v>
      </c>
      <c r="Z349">
        <v>158.19999999999999</v>
      </c>
      <c r="AA349">
        <v>165.8</v>
      </c>
      <c r="AB349">
        <v>170.9</v>
      </c>
      <c r="AC349">
        <v>171.1</v>
      </c>
      <c r="AD349">
        <v>166.1</v>
      </c>
      <c r="AE349">
        <v>174.1</v>
      </c>
    </row>
    <row r="350" spans="2:31" x14ac:dyDescent="0.3">
      <c r="B350" t="s">
        <v>34</v>
      </c>
      <c r="C350">
        <v>2022</v>
      </c>
      <c r="D350" t="s">
        <v>42</v>
      </c>
      <c r="E350">
        <v>163.5</v>
      </c>
      <c r="F350">
        <v>209.2</v>
      </c>
      <c r="G350">
        <v>169.7</v>
      </c>
      <c r="H350">
        <v>169.7</v>
      </c>
      <c r="I350">
        <v>188.7</v>
      </c>
      <c r="J350">
        <v>165.7</v>
      </c>
      <c r="K350">
        <v>191.8</v>
      </c>
      <c r="L350">
        <v>169.1</v>
      </c>
      <c r="M350">
        <v>121.6</v>
      </c>
      <c r="N350">
        <v>197.3</v>
      </c>
      <c r="O350">
        <v>169.4</v>
      </c>
      <c r="P350">
        <v>187.4</v>
      </c>
      <c r="Q350">
        <v>177.8</v>
      </c>
      <c r="R350">
        <v>195.9</v>
      </c>
      <c r="S350">
        <v>180.9</v>
      </c>
      <c r="T350">
        <v>174.3</v>
      </c>
      <c r="U350">
        <v>179.9</v>
      </c>
      <c r="V350">
        <v>169.5</v>
      </c>
      <c r="W350">
        <v>179.5</v>
      </c>
      <c r="X350">
        <v>169.5</v>
      </c>
      <c r="Y350">
        <v>177.8</v>
      </c>
      <c r="Z350">
        <v>162.30000000000001</v>
      </c>
      <c r="AA350">
        <v>167.6</v>
      </c>
      <c r="AB350">
        <v>173.1</v>
      </c>
      <c r="AC350">
        <v>170.9</v>
      </c>
      <c r="AD350">
        <v>169.7</v>
      </c>
      <c r="AE350">
        <v>175.3</v>
      </c>
    </row>
    <row r="351" spans="2:31" x14ac:dyDescent="0.3">
      <c r="B351" t="s">
        <v>30</v>
      </c>
      <c r="C351">
        <v>2022</v>
      </c>
      <c r="D351" t="s">
        <v>43</v>
      </c>
      <c r="E351">
        <v>164.7</v>
      </c>
      <c r="F351">
        <v>208.8</v>
      </c>
      <c r="G351">
        <v>170.3</v>
      </c>
      <c r="H351">
        <v>170.9</v>
      </c>
      <c r="I351">
        <v>191.6</v>
      </c>
      <c r="J351">
        <v>162.19999999999999</v>
      </c>
      <c r="K351">
        <v>184.8</v>
      </c>
      <c r="L351">
        <v>169.7</v>
      </c>
      <c r="M351">
        <v>121.1</v>
      </c>
      <c r="N351">
        <v>201.6</v>
      </c>
      <c r="O351">
        <v>175.8</v>
      </c>
      <c r="P351">
        <v>185.6</v>
      </c>
      <c r="Q351">
        <v>177.4</v>
      </c>
      <c r="R351">
        <v>194.9</v>
      </c>
      <c r="S351">
        <v>186.1</v>
      </c>
      <c r="T351">
        <v>184.4</v>
      </c>
      <c r="U351">
        <v>185.9</v>
      </c>
      <c r="V351" t="s">
        <v>32</v>
      </c>
      <c r="W351">
        <v>180.8</v>
      </c>
      <c r="X351">
        <v>174.4</v>
      </c>
      <c r="Y351">
        <v>181.2</v>
      </c>
      <c r="Z351">
        <v>167.4</v>
      </c>
      <c r="AA351">
        <v>170.6</v>
      </c>
      <c r="AB351">
        <v>176.5</v>
      </c>
      <c r="AC351">
        <v>172</v>
      </c>
      <c r="AD351">
        <v>173.9</v>
      </c>
      <c r="AE351">
        <v>177.9</v>
      </c>
    </row>
    <row r="352" spans="2:31" x14ac:dyDescent="0.3">
      <c r="B352" t="s">
        <v>33</v>
      </c>
      <c r="C352">
        <v>2022</v>
      </c>
      <c r="D352" t="s">
        <v>43</v>
      </c>
      <c r="E352">
        <v>166.4</v>
      </c>
      <c r="F352">
        <v>214.9</v>
      </c>
      <c r="G352">
        <v>171.9</v>
      </c>
      <c r="H352">
        <v>171</v>
      </c>
      <c r="I352">
        <v>177.7</v>
      </c>
      <c r="J352">
        <v>165.7</v>
      </c>
      <c r="K352">
        <v>228.6</v>
      </c>
      <c r="L352">
        <v>169.9</v>
      </c>
      <c r="M352">
        <v>123.4</v>
      </c>
      <c r="N352">
        <v>196.4</v>
      </c>
      <c r="O352">
        <v>161.6</v>
      </c>
      <c r="P352">
        <v>191.5</v>
      </c>
      <c r="Q352">
        <v>183.3</v>
      </c>
      <c r="R352">
        <v>200.1</v>
      </c>
      <c r="S352">
        <v>175.5</v>
      </c>
      <c r="T352">
        <v>162.6</v>
      </c>
      <c r="U352">
        <v>173.6</v>
      </c>
      <c r="V352">
        <v>171.2</v>
      </c>
      <c r="W352">
        <v>180</v>
      </c>
      <c r="X352">
        <v>166</v>
      </c>
      <c r="Y352">
        <v>174.7</v>
      </c>
      <c r="Z352">
        <v>158.80000000000001</v>
      </c>
      <c r="AA352">
        <v>166.3</v>
      </c>
      <c r="AB352">
        <v>171.2</v>
      </c>
      <c r="AC352">
        <v>172.3</v>
      </c>
      <c r="AD352">
        <v>166.8</v>
      </c>
      <c r="AE352">
        <v>175.3</v>
      </c>
    </row>
    <row r="353" spans="2:31" x14ac:dyDescent="0.3">
      <c r="B353" t="s">
        <v>34</v>
      </c>
      <c r="C353">
        <v>2022</v>
      </c>
      <c r="D353" t="s">
        <v>43</v>
      </c>
      <c r="E353">
        <v>165.2</v>
      </c>
      <c r="F353">
        <v>210.9</v>
      </c>
      <c r="G353">
        <v>170.9</v>
      </c>
      <c r="H353">
        <v>170.9</v>
      </c>
      <c r="I353">
        <v>186.5</v>
      </c>
      <c r="J353">
        <v>163.80000000000001</v>
      </c>
      <c r="K353">
        <v>199.7</v>
      </c>
      <c r="L353">
        <v>169.8</v>
      </c>
      <c r="M353">
        <v>121.9</v>
      </c>
      <c r="N353">
        <v>199.9</v>
      </c>
      <c r="O353">
        <v>169.9</v>
      </c>
      <c r="P353">
        <v>188.3</v>
      </c>
      <c r="Q353">
        <v>179.6</v>
      </c>
      <c r="R353">
        <v>196.3</v>
      </c>
      <c r="S353">
        <v>181.9</v>
      </c>
      <c r="T353">
        <v>175.3</v>
      </c>
      <c r="U353">
        <v>181</v>
      </c>
      <c r="V353">
        <v>171.2</v>
      </c>
      <c r="W353">
        <v>180.5</v>
      </c>
      <c r="X353">
        <v>170.4</v>
      </c>
      <c r="Y353">
        <v>178.7</v>
      </c>
      <c r="Z353">
        <v>162.9</v>
      </c>
      <c r="AA353">
        <v>168.2</v>
      </c>
      <c r="AB353">
        <v>173.4</v>
      </c>
      <c r="AC353">
        <v>172.1</v>
      </c>
      <c r="AD353">
        <v>170.5</v>
      </c>
      <c r="AE353">
        <v>176.7</v>
      </c>
    </row>
    <row r="354" spans="2:31" x14ac:dyDescent="0.3">
      <c r="B354" t="s">
        <v>30</v>
      </c>
      <c r="C354">
        <v>2022</v>
      </c>
      <c r="D354" t="s">
        <v>45</v>
      </c>
      <c r="E354">
        <v>166.9</v>
      </c>
      <c r="F354">
        <v>207.2</v>
      </c>
      <c r="G354">
        <v>180.2</v>
      </c>
      <c r="H354">
        <v>172.3</v>
      </c>
      <c r="I354">
        <v>194</v>
      </c>
      <c r="J354">
        <v>159.1</v>
      </c>
      <c r="K354">
        <v>171.6</v>
      </c>
      <c r="L354">
        <v>170.2</v>
      </c>
      <c r="M354">
        <v>121.5</v>
      </c>
      <c r="N354">
        <v>204.8</v>
      </c>
      <c r="O354">
        <v>176.4</v>
      </c>
      <c r="P354">
        <v>186.9</v>
      </c>
      <c r="Q354">
        <v>176.6</v>
      </c>
      <c r="R354">
        <v>195.5</v>
      </c>
      <c r="S354">
        <v>187.2</v>
      </c>
      <c r="T354">
        <v>185.2</v>
      </c>
      <c r="U354">
        <v>186.9</v>
      </c>
      <c r="V354" t="s">
        <v>32</v>
      </c>
      <c r="W354">
        <v>181.9</v>
      </c>
      <c r="X354">
        <v>175.5</v>
      </c>
      <c r="Y354">
        <v>182.3</v>
      </c>
      <c r="Z354">
        <v>167.5</v>
      </c>
      <c r="AA354">
        <v>170.8</v>
      </c>
      <c r="AB354">
        <v>176.9</v>
      </c>
      <c r="AC354">
        <v>173.4</v>
      </c>
      <c r="AD354">
        <v>174.6</v>
      </c>
      <c r="AE354">
        <v>177.8</v>
      </c>
    </row>
    <row r="355" spans="2:31" x14ac:dyDescent="0.3">
      <c r="B355" t="s">
        <v>33</v>
      </c>
      <c r="C355">
        <v>2022</v>
      </c>
      <c r="D355" t="s">
        <v>45</v>
      </c>
      <c r="E355">
        <v>168.4</v>
      </c>
      <c r="F355">
        <v>213.4</v>
      </c>
      <c r="G355">
        <v>183.2</v>
      </c>
      <c r="H355">
        <v>172.3</v>
      </c>
      <c r="I355">
        <v>180</v>
      </c>
      <c r="J355">
        <v>162.6</v>
      </c>
      <c r="K355">
        <v>205.5</v>
      </c>
      <c r="L355">
        <v>171</v>
      </c>
      <c r="M355">
        <v>123.4</v>
      </c>
      <c r="N355">
        <v>198.8</v>
      </c>
      <c r="O355">
        <v>162.1</v>
      </c>
      <c r="P355">
        <v>192.4</v>
      </c>
      <c r="Q355">
        <v>181.3</v>
      </c>
      <c r="R355">
        <v>200.6</v>
      </c>
      <c r="S355">
        <v>176.7</v>
      </c>
      <c r="T355">
        <v>163.5</v>
      </c>
      <c r="U355">
        <v>174.7</v>
      </c>
      <c r="V355">
        <v>171.8</v>
      </c>
      <c r="W355">
        <v>180.3</v>
      </c>
      <c r="X355">
        <v>166.9</v>
      </c>
      <c r="Y355">
        <v>175.8</v>
      </c>
      <c r="Z355">
        <v>158.9</v>
      </c>
      <c r="AA355">
        <v>166.7</v>
      </c>
      <c r="AB355">
        <v>171.5</v>
      </c>
      <c r="AC355">
        <v>173.8</v>
      </c>
      <c r="AD355">
        <v>167.4</v>
      </c>
      <c r="AE355">
        <v>174.1</v>
      </c>
    </row>
    <row r="356" spans="2:31" x14ac:dyDescent="0.3">
      <c r="B356" t="s">
        <v>34</v>
      </c>
      <c r="C356">
        <v>2022</v>
      </c>
      <c r="D356" t="s">
        <v>45</v>
      </c>
      <c r="E356">
        <v>167.4</v>
      </c>
      <c r="F356">
        <v>209.4</v>
      </c>
      <c r="G356">
        <v>181.4</v>
      </c>
      <c r="H356">
        <v>172.3</v>
      </c>
      <c r="I356">
        <v>188.9</v>
      </c>
      <c r="J356">
        <v>160.69999999999999</v>
      </c>
      <c r="K356">
        <v>183.1</v>
      </c>
      <c r="L356">
        <v>170.5</v>
      </c>
      <c r="M356">
        <v>122.1</v>
      </c>
      <c r="N356">
        <v>202.8</v>
      </c>
      <c r="O356">
        <v>170.4</v>
      </c>
      <c r="P356">
        <v>189.5</v>
      </c>
      <c r="Q356">
        <v>178.3</v>
      </c>
      <c r="R356">
        <v>196.9</v>
      </c>
      <c r="S356">
        <v>183.1</v>
      </c>
      <c r="T356">
        <v>176.2</v>
      </c>
      <c r="U356">
        <v>182.1</v>
      </c>
      <c r="V356">
        <v>171.8</v>
      </c>
      <c r="W356">
        <v>181.3</v>
      </c>
      <c r="X356">
        <v>171.4</v>
      </c>
      <c r="Y356">
        <v>179.8</v>
      </c>
      <c r="Z356">
        <v>163</v>
      </c>
      <c r="AA356">
        <v>168.5</v>
      </c>
      <c r="AB356">
        <v>173.7</v>
      </c>
      <c r="AC356">
        <v>173.6</v>
      </c>
      <c r="AD356">
        <v>171.1</v>
      </c>
      <c r="AE356">
        <v>176.5</v>
      </c>
    </row>
    <row r="357" spans="2:31" x14ac:dyDescent="0.3">
      <c r="B357" t="s">
        <v>30</v>
      </c>
      <c r="C357">
        <v>2022</v>
      </c>
      <c r="D357" t="s">
        <v>46</v>
      </c>
      <c r="E357">
        <v>168.8</v>
      </c>
      <c r="F357">
        <v>206.9</v>
      </c>
      <c r="G357">
        <v>189.1</v>
      </c>
      <c r="H357">
        <v>173.4</v>
      </c>
      <c r="I357">
        <v>193.9</v>
      </c>
      <c r="J357">
        <v>156.69999999999999</v>
      </c>
      <c r="K357">
        <v>150.19999999999999</v>
      </c>
      <c r="L357">
        <v>170.5</v>
      </c>
      <c r="M357">
        <v>121.2</v>
      </c>
      <c r="N357">
        <v>207.5</v>
      </c>
      <c r="O357">
        <v>176.8</v>
      </c>
      <c r="P357">
        <v>187.7</v>
      </c>
      <c r="Q357">
        <v>174.4</v>
      </c>
      <c r="R357">
        <v>195.9</v>
      </c>
      <c r="S357">
        <v>188.1</v>
      </c>
      <c r="T357">
        <v>185.9</v>
      </c>
      <c r="U357">
        <v>187.8</v>
      </c>
      <c r="V357" t="s">
        <v>32</v>
      </c>
      <c r="W357">
        <v>182.8</v>
      </c>
      <c r="X357">
        <v>176.4</v>
      </c>
      <c r="Y357">
        <v>183.5</v>
      </c>
      <c r="Z357">
        <v>167.8</v>
      </c>
      <c r="AA357">
        <v>171.2</v>
      </c>
      <c r="AB357">
        <v>177.3</v>
      </c>
      <c r="AC357">
        <v>175.7</v>
      </c>
      <c r="AD357">
        <v>175.5</v>
      </c>
      <c r="AE357">
        <v>177.1</v>
      </c>
    </row>
    <row r="358" spans="2:31" x14ac:dyDescent="0.3">
      <c r="B358" t="s">
        <v>33</v>
      </c>
      <c r="C358">
        <v>2022</v>
      </c>
      <c r="D358" t="s">
        <v>46</v>
      </c>
      <c r="E358">
        <v>170.2</v>
      </c>
      <c r="F358">
        <v>212.9</v>
      </c>
      <c r="G358">
        <v>191.9</v>
      </c>
      <c r="H358">
        <v>173.9</v>
      </c>
      <c r="I358">
        <v>179.1</v>
      </c>
      <c r="J358">
        <v>159.5</v>
      </c>
      <c r="K358">
        <v>178.7</v>
      </c>
      <c r="L358">
        <v>171.3</v>
      </c>
      <c r="M358">
        <v>123.1</v>
      </c>
      <c r="N358">
        <v>200.5</v>
      </c>
      <c r="O358">
        <v>162.80000000000001</v>
      </c>
      <c r="P358">
        <v>193.3</v>
      </c>
      <c r="Q358">
        <v>178.6</v>
      </c>
      <c r="R358">
        <v>201.1</v>
      </c>
      <c r="S358">
        <v>177.7</v>
      </c>
      <c r="T358">
        <v>164.5</v>
      </c>
      <c r="U358">
        <v>175.7</v>
      </c>
      <c r="V358">
        <v>170.7</v>
      </c>
      <c r="W358">
        <v>180.6</v>
      </c>
      <c r="X358">
        <v>167.3</v>
      </c>
      <c r="Y358">
        <v>177.2</v>
      </c>
      <c r="Z358">
        <v>159.4</v>
      </c>
      <c r="AA358">
        <v>167.1</v>
      </c>
      <c r="AB358">
        <v>171.8</v>
      </c>
      <c r="AC358">
        <v>176</v>
      </c>
      <c r="AD358">
        <v>168.2</v>
      </c>
      <c r="AE358">
        <v>174.1</v>
      </c>
    </row>
    <row r="359" spans="2:31" x14ac:dyDescent="0.3">
      <c r="B359" t="s">
        <v>34</v>
      </c>
      <c r="C359">
        <v>2022</v>
      </c>
      <c r="D359" t="s">
        <v>46</v>
      </c>
      <c r="E359">
        <v>169.2</v>
      </c>
      <c r="F359">
        <v>209</v>
      </c>
      <c r="G359">
        <v>190.2</v>
      </c>
      <c r="H359">
        <v>173.6</v>
      </c>
      <c r="I359">
        <v>188.5</v>
      </c>
      <c r="J359">
        <v>158</v>
      </c>
      <c r="K359">
        <v>159.9</v>
      </c>
      <c r="L359">
        <v>170.8</v>
      </c>
      <c r="M359">
        <v>121.8</v>
      </c>
      <c r="N359">
        <v>205.2</v>
      </c>
      <c r="O359">
        <v>171</v>
      </c>
      <c r="P359">
        <v>190.3</v>
      </c>
      <c r="Q359">
        <v>175.9</v>
      </c>
      <c r="R359">
        <v>197.3</v>
      </c>
      <c r="S359">
        <v>184</v>
      </c>
      <c r="T359">
        <v>177</v>
      </c>
      <c r="U359">
        <v>183</v>
      </c>
      <c r="V359">
        <v>170.7</v>
      </c>
      <c r="W359">
        <v>182</v>
      </c>
      <c r="X359">
        <v>172.1</v>
      </c>
      <c r="Y359">
        <v>181.1</v>
      </c>
      <c r="Z359">
        <v>163.4</v>
      </c>
      <c r="AA359">
        <v>168.9</v>
      </c>
      <c r="AB359">
        <v>174.1</v>
      </c>
      <c r="AC359">
        <v>175.8</v>
      </c>
      <c r="AD359">
        <v>172</v>
      </c>
      <c r="AE359">
        <v>175.7</v>
      </c>
    </row>
    <row r="360" spans="2:31" x14ac:dyDescent="0.3">
      <c r="B360" t="s">
        <v>30</v>
      </c>
      <c r="C360">
        <v>2023</v>
      </c>
      <c r="D360" t="s">
        <v>31</v>
      </c>
      <c r="E360">
        <v>174</v>
      </c>
      <c r="F360">
        <v>208.3</v>
      </c>
      <c r="G360">
        <v>192.9</v>
      </c>
      <c r="H360">
        <v>174.3</v>
      </c>
      <c r="I360">
        <v>192.6</v>
      </c>
      <c r="J360">
        <v>156.30000000000001</v>
      </c>
      <c r="K360">
        <v>142.9</v>
      </c>
      <c r="L360">
        <v>170.7</v>
      </c>
      <c r="M360">
        <v>120.3</v>
      </c>
      <c r="N360">
        <v>210.5</v>
      </c>
      <c r="O360">
        <v>176.9</v>
      </c>
      <c r="P360">
        <v>188.5</v>
      </c>
      <c r="Q360">
        <v>175</v>
      </c>
      <c r="R360">
        <v>196.9</v>
      </c>
      <c r="S360">
        <v>189</v>
      </c>
      <c r="T360">
        <v>186.3</v>
      </c>
      <c r="U360">
        <v>188.6</v>
      </c>
      <c r="V360" t="s">
        <v>32</v>
      </c>
      <c r="W360">
        <v>183.2</v>
      </c>
      <c r="X360">
        <v>177.2</v>
      </c>
      <c r="Y360">
        <v>184.7</v>
      </c>
      <c r="Z360">
        <v>168.2</v>
      </c>
      <c r="AA360">
        <v>171.8</v>
      </c>
      <c r="AB360">
        <v>177.8</v>
      </c>
      <c r="AC360">
        <v>178.4</v>
      </c>
      <c r="AD360">
        <v>176.5</v>
      </c>
      <c r="AE360">
        <v>177.8</v>
      </c>
    </row>
    <row r="361" spans="2:31" x14ac:dyDescent="0.3">
      <c r="B361" t="s">
        <v>33</v>
      </c>
      <c r="C361">
        <v>2023</v>
      </c>
      <c r="D361" t="s">
        <v>31</v>
      </c>
      <c r="E361">
        <v>173.3</v>
      </c>
      <c r="F361">
        <v>215.2</v>
      </c>
      <c r="G361">
        <v>197</v>
      </c>
      <c r="H361">
        <v>175.2</v>
      </c>
      <c r="I361">
        <v>178</v>
      </c>
      <c r="J361">
        <v>160.5</v>
      </c>
      <c r="K361">
        <v>175.3</v>
      </c>
      <c r="L361">
        <v>171.2</v>
      </c>
      <c r="M361">
        <v>122.7</v>
      </c>
      <c r="N361">
        <v>204.3</v>
      </c>
      <c r="O361">
        <v>163.69999999999999</v>
      </c>
      <c r="P361">
        <v>194.3</v>
      </c>
      <c r="Q361">
        <v>179.5</v>
      </c>
      <c r="R361">
        <v>201.6</v>
      </c>
      <c r="S361">
        <v>178.7</v>
      </c>
      <c r="T361">
        <v>165.3</v>
      </c>
      <c r="U361">
        <v>176.6</v>
      </c>
      <c r="V361">
        <v>172.1</v>
      </c>
      <c r="W361">
        <v>180.1</v>
      </c>
      <c r="X361">
        <v>168</v>
      </c>
      <c r="Y361">
        <v>178.5</v>
      </c>
      <c r="Z361">
        <v>159.5</v>
      </c>
      <c r="AA361">
        <v>167.8</v>
      </c>
      <c r="AB361">
        <v>171.8</v>
      </c>
      <c r="AC361">
        <v>178.8</v>
      </c>
      <c r="AD361">
        <v>168.9</v>
      </c>
      <c r="AE361">
        <v>174.9</v>
      </c>
    </row>
    <row r="362" spans="2:31" x14ac:dyDescent="0.3">
      <c r="B362" t="s">
        <v>34</v>
      </c>
      <c r="C362">
        <v>2023</v>
      </c>
      <c r="D362" t="s">
        <v>31</v>
      </c>
      <c r="E362">
        <v>173.8</v>
      </c>
      <c r="F362">
        <v>210.7</v>
      </c>
      <c r="G362">
        <v>194.5</v>
      </c>
      <c r="H362">
        <v>174.6</v>
      </c>
      <c r="I362">
        <v>187.2</v>
      </c>
      <c r="J362">
        <v>158.30000000000001</v>
      </c>
      <c r="K362">
        <v>153.9</v>
      </c>
      <c r="L362">
        <v>170.9</v>
      </c>
      <c r="M362">
        <v>121.1</v>
      </c>
      <c r="N362">
        <v>208.4</v>
      </c>
      <c r="O362">
        <v>171.4</v>
      </c>
      <c r="P362">
        <v>191.2</v>
      </c>
      <c r="Q362">
        <v>176.7</v>
      </c>
      <c r="R362">
        <v>198.2</v>
      </c>
      <c r="S362">
        <v>184.9</v>
      </c>
      <c r="T362">
        <v>177.6</v>
      </c>
      <c r="U362">
        <v>183.8</v>
      </c>
      <c r="V362">
        <v>172.1</v>
      </c>
      <c r="W362">
        <v>182</v>
      </c>
      <c r="X362">
        <v>172.9</v>
      </c>
      <c r="Y362">
        <v>182.3</v>
      </c>
      <c r="Z362">
        <v>163.6</v>
      </c>
      <c r="AA362">
        <v>169.5</v>
      </c>
      <c r="AB362">
        <v>174.3</v>
      </c>
      <c r="AC362">
        <v>178.6</v>
      </c>
      <c r="AD362">
        <v>172.8</v>
      </c>
      <c r="AE362">
        <v>176.5</v>
      </c>
    </row>
    <row r="363" spans="2:31" x14ac:dyDescent="0.3">
      <c r="B363" t="s">
        <v>30</v>
      </c>
      <c r="C363">
        <v>2023</v>
      </c>
      <c r="D363" t="s">
        <v>35</v>
      </c>
      <c r="E363">
        <v>174.2</v>
      </c>
      <c r="F363">
        <v>205.2</v>
      </c>
      <c r="G363">
        <v>173.9</v>
      </c>
      <c r="H363">
        <v>177</v>
      </c>
      <c r="I363">
        <v>183.4</v>
      </c>
      <c r="J363">
        <v>167.2</v>
      </c>
      <c r="K363">
        <v>140.9</v>
      </c>
      <c r="L363">
        <v>170.4</v>
      </c>
      <c r="M363">
        <v>119.1</v>
      </c>
      <c r="N363">
        <v>212.1</v>
      </c>
      <c r="O363">
        <v>177.6</v>
      </c>
      <c r="P363">
        <v>189.9</v>
      </c>
      <c r="Q363">
        <v>174.8</v>
      </c>
      <c r="R363">
        <v>198.3</v>
      </c>
      <c r="S363">
        <v>190</v>
      </c>
      <c r="T363">
        <v>187</v>
      </c>
      <c r="U363">
        <v>189.6</v>
      </c>
      <c r="V363" t="s">
        <v>32</v>
      </c>
      <c r="W363">
        <v>181.6</v>
      </c>
      <c r="X363">
        <v>178.6</v>
      </c>
      <c r="Y363">
        <v>186.6</v>
      </c>
      <c r="Z363">
        <v>169</v>
      </c>
      <c r="AA363">
        <v>172.8</v>
      </c>
      <c r="AB363">
        <v>178.5</v>
      </c>
      <c r="AC363">
        <v>180.7</v>
      </c>
      <c r="AD363">
        <v>177.9</v>
      </c>
      <c r="AE363">
        <v>178</v>
      </c>
    </row>
    <row r="364" spans="2:31" x14ac:dyDescent="0.3">
      <c r="B364" t="s">
        <v>33</v>
      </c>
      <c r="C364">
        <v>2023</v>
      </c>
      <c r="D364" t="s">
        <v>35</v>
      </c>
      <c r="E364">
        <v>174.7</v>
      </c>
      <c r="F364">
        <v>212.2</v>
      </c>
      <c r="G364">
        <v>177.2</v>
      </c>
      <c r="H364">
        <v>177.9</v>
      </c>
      <c r="I364">
        <v>172.2</v>
      </c>
      <c r="J364">
        <v>172.1</v>
      </c>
      <c r="K364">
        <v>175.8</v>
      </c>
      <c r="L364">
        <v>172.2</v>
      </c>
      <c r="M364">
        <v>121.9</v>
      </c>
      <c r="N364">
        <v>204.8</v>
      </c>
      <c r="O364">
        <v>164.9</v>
      </c>
      <c r="P364">
        <v>196.6</v>
      </c>
      <c r="Q364">
        <v>180.7</v>
      </c>
      <c r="R364">
        <v>202.7</v>
      </c>
      <c r="S364">
        <v>180.3</v>
      </c>
      <c r="T364">
        <v>167</v>
      </c>
      <c r="U364">
        <v>178.2</v>
      </c>
      <c r="V364">
        <v>173.5</v>
      </c>
      <c r="W364">
        <v>182.8</v>
      </c>
      <c r="X364">
        <v>169.2</v>
      </c>
      <c r="Y364">
        <v>180.8</v>
      </c>
      <c r="Z364">
        <v>159.80000000000001</v>
      </c>
      <c r="AA364">
        <v>168.4</v>
      </c>
      <c r="AB364">
        <v>172.5</v>
      </c>
      <c r="AC364">
        <v>181.4</v>
      </c>
      <c r="AD364">
        <v>170</v>
      </c>
      <c r="AE364">
        <v>176.3</v>
      </c>
    </row>
    <row r="365" spans="2:31" x14ac:dyDescent="0.3">
      <c r="B365" t="s">
        <v>34</v>
      </c>
      <c r="C365">
        <v>2023</v>
      </c>
      <c r="D365" t="s">
        <v>35</v>
      </c>
      <c r="E365">
        <v>174.4</v>
      </c>
      <c r="F365">
        <v>207.7</v>
      </c>
      <c r="G365">
        <v>175.2</v>
      </c>
      <c r="H365">
        <v>177.3</v>
      </c>
      <c r="I365">
        <v>179.3</v>
      </c>
      <c r="J365">
        <v>169.5</v>
      </c>
      <c r="K365">
        <v>152.69999999999999</v>
      </c>
      <c r="L365">
        <v>171</v>
      </c>
      <c r="M365">
        <v>120</v>
      </c>
      <c r="N365">
        <v>209.7</v>
      </c>
      <c r="O365">
        <v>172.3</v>
      </c>
      <c r="P365">
        <v>193</v>
      </c>
      <c r="Q365">
        <v>177</v>
      </c>
      <c r="R365">
        <v>199.5</v>
      </c>
      <c r="S365">
        <v>186.2</v>
      </c>
      <c r="T365">
        <v>178.7</v>
      </c>
      <c r="U365">
        <v>185.1</v>
      </c>
      <c r="V365">
        <v>173.5</v>
      </c>
      <c r="W365">
        <v>182.1</v>
      </c>
      <c r="X365">
        <v>174.2</v>
      </c>
      <c r="Y365">
        <v>184.4</v>
      </c>
      <c r="Z365">
        <v>164.2</v>
      </c>
      <c r="AA365">
        <v>170.3</v>
      </c>
      <c r="AB365">
        <v>175</v>
      </c>
      <c r="AC365">
        <v>181</v>
      </c>
      <c r="AD365">
        <v>174.1</v>
      </c>
      <c r="AE365">
        <v>177.2</v>
      </c>
    </row>
    <row r="366" spans="2:31" x14ac:dyDescent="0.3">
      <c r="B366" t="s">
        <v>30</v>
      </c>
      <c r="C366">
        <v>2023</v>
      </c>
      <c r="D366" t="s">
        <v>36</v>
      </c>
      <c r="E366">
        <v>174.3</v>
      </c>
      <c r="F366">
        <v>205.2</v>
      </c>
      <c r="G366">
        <v>173.9</v>
      </c>
      <c r="H366">
        <v>177</v>
      </c>
      <c r="I366">
        <v>183.3</v>
      </c>
      <c r="J366">
        <v>167.2</v>
      </c>
      <c r="K366">
        <v>140.9</v>
      </c>
      <c r="L366">
        <v>170.5</v>
      </c>
      <c r="M366">
        <v>119.1</v>
      </c>
      <c r="N366">
        <v>212.1</v>
      </c>
      <c r="O366">
        <v>177.6</v>
      </c>
      <c r="P366">
        <v>189.9</v>
      </c>
      <c r="Q366">
        <v>174.8</v>
      </c>
      <c r="R366">
        <v>198.4</v>
      </c>
      <c r="S366">
        <v>190</v>
      </c>
      <c r="T366">
        <v>187</v>
      </c>
      <c r="U366">
        <v>189.6</v>
      </c>
      <c r="V366" t="s">
        <v>32</v>
      </c>
      <c r="W366">
        <v>181.4</v>
      </c>
      <c r="X366">
        <v>178.6</v>
      </c>
      <c r="Y366">
        <v>186.6</v>
      </c>
      <c r="Z366">
        <v>169</v>
      </c>
      <c r="AA366">
        <v>172.8</v>
      </c>
      <c r="AB366">
        <v>178.5</v>
      </c>
      <c r="AC366">
        <v>180.7</v>
      </c>
      <c r="AD366">
        <v>177.9</v>
      </c>
      <c r="AE366">
        <v>178</v>
      </c>
    </row>
    <row r="367" spans="2:31" x14ac:dyDescent="0.3">
      <c r="B367" t="s">
        <v>33</v>
      </c>
      <c r="C367">
        <v>2023</v>
      </c>
      <c r="D367" t="s">
        <v>36</v>
      </c>
      <c r="E367">
        <v>174.7</v>
      </c>
      <c r="F367">
        <v>212.2</v>
      </c>
      <c r="G367">
        <v>177.2</v>
      </c>
      <c r="H367">
        <v>177.9</v>
      </c>
      <c r="I367">
        <v>172.2</v>
      </c>
      <c r="J367">
        <v>172.1</v>
      </c>
      <c r="K367">
        <v>175.9</v>
      </c>
      <c r="L367">
        <v>172.2</v>
      </c>
      <c r="M367">
        <v>121.9</v>
      </c>
      <c r="N367">
        <v>204.8</v>
      </c>
      <c r="O367">
        <v>164.9</v>
      </c>
      <c r="P367">
        <v>196.6</v>
      </c>
      <c r="Q367">
        <v>180.8</v>
      </c>
      <c r="R367">
        <v>202.7</v>
      </c>
      <c r="S367">
        <v>180.2</v>
      </c>
      <c r="T367">
        <v>167</v>
      </c>
      <c r="U367">
        <v>178.2</v>
      </c>
      <c r="V367">
        <v>173.5</v>
      </c>
      <c r="W367">
        <v>182.6</v>
      </c>
      <c r="X367">
        <v>169.2</v>
      </c>
      <c r="Y367">
        <v>180.8</v>
      </c>
      <c r="Z367">
        <v>159.80000000000001</v>
      </c>
      <c r="AA367">
        <v>168.4</v>
      </c>
      <c r="AB367">
        <v>172.5</v>
      </c>
      <c r="AC367">
        <v>181.5</v>
      </c>
      <c r="AD367">
        <v>170</v>
      </c>
      <c r="AE367">
        <v>176.3</v>
      </c>
    </row>
    <row r="368" spans="2:31" x14ac:dyDescent="0.3">
      <c r="B368" t="s">
        <v>34</v>
      </c>
      <c r="C368">
        <v>2023</v>
      </c>
      <c r="D368" t="s">
        <v>36</v>
      </c>
      <c r="E368">
        <v>174.4</v>
      </c>
      <c r="F368">
        <v>207.7</v>
      </c>
      <c r="G368">
        <v>175.2</v>
      </c>
      <c r="H368">
        <v>177.3</v>
      </c>
      <c r="I368">
        <v>179.2</v>
      </c>
      <c r="J368">
        <v>169.5</v>
      </c>
      <c r="K368">
        <v>152.80000000000001</v>
      </c>
      <c r="L368">
        <v>171.1</v>
      </c>
      <c r="M368">
        <v>120</v>
      </c>
      <c r="N368">
        <v>209.7</v>
      </c>
      <c r="O368">
        <v>172.3</v>
      </c>
      <c r="P368">
        <v>193</v>
      </c>
      <c r="Q368">
        <v>177</v>
      </c>
      <c r="R368">
        <v>199.5</v>
      </c>
      <c r="S368">
        <v>186.1</v>
      </c>
      <c r="T368">
        <v>178.7</v>
      </c>
      <c r="U368">
        <v>185.1</v>
      </c>
      <c r="V368">
        <v>173.5</v>
      </c>
      <c r="W368">
        <v>181.9</v>
      </c>
      <c r="X368">
        <v>174.2</v>
      </c>
      <c r="Y368">
        <v>184.4</v>
      </c>
      <c r="Z368">
        <v>164.2</v>
      </c>
      <c r="AA368">
        <v>170.3</v>
      </c>
      <c r="AB368">
        <v>175</v>
      </c>
      <c r="AC368">
        <v>181</v>
      </c>
      <c r="AD368">
        <v>174.1</v>
      </c>
      <c r="AE368">
        <v>177.2</v>
      </c>
    </row>
    <row r="369" spans="2:31" x14ac:dyDescent="0.3">
      <c r="B369" t="s">
        <v>30</v>
      </c>
      <c r="C369">
        <v>2023</v>
      </c>
      <c r="D369" t="s">
        <v>37</v>
      </c>
      <c r="E369">
        <v>173.3</v>
      </c>
      <c r="F369">
        <v>206.9</v>
      </c>
      <c r="G369">
        <v>167.9</v>
      </c>
      <c r="H369">
        <v>178.2</v>
      </c>
      <c r="I369">
        <v>178.5</v>
      </c>
      <c r="J369">
        <v>173.7</v>
      </c>
      <c r="K369">
        <v>142.80000000000001</v>
      </c>
      <c r="L369">
        <v>172.8</v>
      </c>
      <c r="M369">
        <v>120.4</v>
      </c>
      <c r="N369">
        <v>215.5</v>
      </c>
      <c r="O369">
        <v>178.2</v>
      </c>
      <c r="P369">
        <v>190.5</v>
      </c>
      <c r="Q369">
        <v>175.5</v>
      </c>
      <c r="R369">
        <v>199.5</v>
      </c>
      <c r="S369">
        <v>190.7</v>
      </c>
      <c r="T369">
        <v>187.3</v>
      </c>
      <c r="U369">
        <v>190.2</v>
      </c>
      <c r="V369" t="s">
        <v>48</v>
      </c>
      <c r="W369">
        <v>181.5</v>
      </c>
      <c r="X369">
        <v>179.1</v>
      </c>
      <c r="Y369">
        <v>187.2</v>
      </c>
      <c r="Z369">
        <v>169.4</v>
      </c>
      <c r="AA369">
        <v>173.2</v>
      </c>
      <c r="AB369">
        <v>179.4</v>
      </c>
      <c r="AC369">
        <v>183.8</v>
      </c>
      <c r="AD369">
        <v>178.9</v>
      </c>
      <c r="AE369">
        <v>178.8</v>
      </c>
    </row>
    <row r="370" spans="2:31" x14ac:dyDescent="0.3">
      <c r="B370" t="s">
        <v>33</v>
      </c>
      <c r="C370">
        <v>2023</v>
      </c>
      <c r="D370" t="s">
        <v>37</v>
      </c>
      <c r="E370">
        <v>174.8</v>
      </c>
      <c r="F370">
        <v>213.7</v>
      </c>
      <c r="G370">
        <v>172.4</v>
      </c>
      <c r="H370">
        <v>178.8</v>
      </c>
      <c r="I370">
        <v>168.7</v>
      </c>
      <c r="J370">
        <v>179.2</v>
      </c>
      <c r="K370">
        <v>179.9</v>
      </c>
      <c r="L370">
        <v>174.7</v>
      </c>
      <c r="M370">
        <v>123.1</v>
      </c>
      <c r="N370">
        <v>207.8</v>
      </c>
      <c r="O370">
        <v>165.5</v>
      </c>
      <c r="P370">
        <v>197</v>
      </c>
      <c r="Q370">
        <v>182.1</v>
      </c>
      <c r="R370">
        <v>203.5</v>
      </c>
      <c r="S370">
        <v>181</v>
      </c>
      <c r="T370">
        <v>167.7</v>
      </c>
      <c r="U370">
        <v>178.9</v>
      </c>
      <c r="V370">
        <v>175.2</v>
      </c>
      <c r="W370">
        <v>182.1</v>
      </c>
      <c r="X370">
        <v>169.6</v>
      </c>
      <c r="Y370">
        <v>181.5</v>
      </c>
      <c r="Z370">
        <v>160.1</v>
      </c>
      <c r="AA370">
        <v>168.8</v>
      </c>
      <c r="AB370">
        <v>174.2</v>
      </c>
      <c r="AC370">
        <v>184.4</v>
      </c>
      <c r="AD370">
        <v>170.9</v>
      </c>
      <c r="AE370">
        <v>177.4</v>
      </c>
    </row>
    <row r="371" spans="2:31" x14ac:dyDescent="0.3">
      <c r="B371" t="s">
        <v>34</v>
      </c>
      <c r="C371">
        <v>2023</v>
      </c>
      <c r="D371" t="s">
        <v>37</v>
      </c>
      <c r="E371">
        <v>173.8</v>
      </c>
      <c r="F371">
        <v>209.3</v>
      </c>
      <c r="G371">
        <v>169.6</v>
      </c>
      <c r="H371">
        <v>178.4</v>
      </c>
      <c r="I371">
        <v>174.9</v>
      </c>
      <c r="J371">
        <v>176.3</v>
      </c>
      <c r="K371">
        <v>155.4</v>
      </c>
      <c r="L371">
        <v>173.4</v>
      </c>
      <c r="M371">
        <v>121.3</v>
      </c>
      <c r="N371">
        <v>212.9</v>
      </c>
      <c r="O371">
        <v>172.9</v>
      </c>
      <c r="P371">
        <v>193.5</v>
      </c>
      <c r="Q371">
        <v>177.9</v>
      </c>
      <c r="R371">
        <v>200.6</v>
      </c>
      <c r="S371">
        <v>186.9</v>
      </c>
      <c r="T371">
        <v>179.2</v>
      </c>
      <c r="U371">
        <v>185.7</v>
      </c>
      <c r="V371">
        <v>175.2</v>
      </c>
      <c r="W371">
        <v>181.7</v>
      </c>
      <c r="X371">
        <v>174.6</v>
      </c>
      <c r="Y371">
        <v>185</v>
      </c>
      <c r="Z371">
        <v>164.5</v>
      </c>
      <c r="AA371">
        <v>170.7</v>
      </c>
      <c r="AB371">
        <v>176.4</v>
      </c>
      <c r="AC371">
        <v>184</v>
      </c>
      <c r="AD371">
        <v>175</v>
      </c>
      <c r="AE371">
        <v>178.1</v>
      </c>
    </row>
    <row r="372" spans="2:31" x14ac:dyDescent="0.3">
      <c r="B372" t="s">
        <v>30</v>
      </c>
      <c r="C372">
        <v>2023</v>
      </c>
      <c r="D372" t="s">
        <v>38</v>
      </c>
      <c r="E372">
        <v>173.2</v>
      </c>
      <c r="F372">
        <v>211.5</v>
      </c>
      <c r="G372">
        <v>171</v>
      </c>
      <c r="H372">
        <v>179.6</v>
      </c>
      <c r="I372">
        <v>173.3</v>
      </c>
      <c r="J372">
        <v>169</v>
      </c>
      <c r="K372">
        <v>148.69999999999999</v>
      </c>
      <c r="L372">
        <v>174.9</v>
      </c>
      <c r="M372">
        <v>121.9</v>
      </c>
      <c r="N372">
        <v>221</v>
      </c>
      <c r="O372">
        <v>178.7</v>
      </c>
      <c r="P372">
        <v>191.1</v>
      </c>
      <c r="Q372">
        <v>176.8</v>
      </c>
      <c r="R372">
        <v>199.9</v>
      </c>
      <c r="S372">
        <v>191.2</v>
      </c>
      <c r="T372">
        <v>187.9</v>
      </c>
      <c r="U372">
        <v>190.8</v>
      </c>
      <c r="V372" t="s">
        <v>48</v>
      </c>
      <c r="W372">
        <v>182.5</v>
      </c>
      <c r="X372">
        <v>179.8</v>
      </c>
      <c r="Y372">
        <v>187.8</v>
      </c>
      <c r="Z372">
        <v>169.7</v>
      </c>
      <c r="AA372">
        <v>173.8</v>
      </c>
      <c r="AB372">
        <v>180.3</v>
      </c>
      <c r="AC372">
        <v>184.9</v>
      </c>
      <c r="AD372">
        <v>179.5</v>
      </c>
      <c r="AE372">
        <v>179.8</v>
      </c>
    </row>
    <row r="373" spans="2:31" x14ac:dyDescent="0.3">
      <c r="B373" t="s">
        <v>33</v>
      </c>
      <c r="C373">
        <v>2023</v>
      </c>
      <c r="D373" t="s">
        <v>38</v>
      </c>
      <c r="E373">
        <v>174.7</v>
      </c>
      <c r="F373">
        <v>219.4</v>
      </c>
      <c r="G373">
        <v>176.7</v>
      </c>
      <c r="H373">
        <v>179.4</v>
      </c>
      <c r="I373">
        <v>164.4</v>
      </c>
      <c r="J373">
        <v>175.8</v>
      </c>
      <c r="K373">
        <v>185</v>
      </c>
      <c r="L373">
        <v>176.9</v>
      </c>
      <c r="M373">
        <v>124.2</v>
      </c>
      <c r="N373">
        <v>211.9</v>
      </c>
      <c r="O373">
        <v>165.9</v>
      </c>
      <c r="P373">
        <v>197.7</v>
      </c>
      <c r="Q373">
        <v>183.1</v>
      </c>
      <c r="R373">
        <v>204.2</v>
      </c>
      <c r="S373">
        <v>181.3</v>
      </c>
      <c r="T373">
        <v>168.1</v>
      </c>
      <c r="U373">
        <v>179.3</v>
      </c>
      <c r="V373">
        <v>175.6</v>
      </c>
      <c r="W373">
        <v>183.4</v>
      </c>
      <c r="X373">
        <v>170.1</v>
      </c>
      <c r="Y373">
        <v>182.2</v>
      </c>
      <c r="Z373">
        <v>160.4</v>
      </c>
      <c r="AA373">
        <v>169.2</v>
      </c>
      <c r="AB373">
        <v>174.8</v>
      </c>
      <c r="AC373">
        <v>185.6</v>
      </c>
      <c r="AD373">
        <v>171.6</v>
      </c>
      <c r="AE373">
        <v>178.2</v>
      </c>
    </row>
    <row r="374" spans="2:31" x14ac:dyDescent="0.3">
      <c r="B374" t="s">
        <v>34</v>
      </c>
      <c r="C374">
        <v>2023</v>
      </c>
      <c r="D374" t="s">
        <v>38</v>
      </c>
      <c r="E374">
        <v>173.7</v>
      </c>
      <c r="F374">
        <v>214.3</v>
      </c>
      <c r="G374">
        <v>173.2</v>
      </c>
      <c r="H374">
        <v>179.5</v>
      </c>
      <c r="I374">
        <v>170</v>
      </c>
      <c r="J374">
        <v>172.2</v>
      </c>
      <c r="K374">
        <v>161</v>
      </c>
      <c r="L374">
        <v>175.6</v>
      </c>
      <c r="M374">
        <v>122.7</v>
      </c>
      <c r="N374">
        <v>218</v>
      </c>
      <c r="O374">
        <v>173.4</v>
      </c>
      <c r="P374">
        <v>194.2</v>
      </c>
      <c r="Q374">
        <v>179.1</v>
      </c>
      <c r="R374">
        <v>201</v>
      </c>
      <c r="S374">
        <v>187.3</v>
      </c>
      <c r="T374">
        <v>179.7</v>
      </c>
      <c r="U374">
        <v>186.2</v>
      </c>
      <c r="V374">
        <v>175.6</v>
      </c>
      <c r="W374">
        <v>182.8</v>
      </c>
      <c r="X374">
        <v>175.2</v>
      </c>
      <c r="Y374">
        <v>185.7</v>
      </c>
      <c r="Z374">
        <v>164.8</v>
      </c>
      <c r="AA374">
        <v>171.2</v>
      </c>
      <c r="AB374">
        <v>177.1</v>
      </c>
      <c r="AC374">
        <v>185.2</v>
      </c>
      <c r="AD374">
        <v>175.7</v>
      </c>
      <c r="AE374">
        <v>179.1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6F7C-4C56-4132-AD5A-CB46986B23EE}">
  <dimension ref="A1:BC315"/>
  <sheetViews>
    <sheetView zoomScale="68" workbookViewId="0">
      <selection activeCell="D16" sqref="D16"/>
    </sheetView>
  </sheetViews>
  <sheetFormatPr defaultRowHeight="14.4" x14ac:dyDescent="0.3"/>
  <sheetData>
    <row r="1" spans="1:55" x14ac:dyDescent="0.3">
      <c r="A1" t="s">
        <v>49</v>
      </c>
    </row>
    <row r="3" spans="1:55" x14ac:dyDescent="0.3">
      <c r="A3" t="s">
        <v>50</v>
      </c>
      <c r="C3" t="s">
        <v>50</v>
      </c>
      <c r="E3" t="s">
        <v>50</v>
      </c>
      <c r="G3" t="s">
        <v>50</v>
      </c>
      <c r="I3" t="s">
        <v>50</v>
      </c>
      <c r="K3" t="s">
        <v>50</v>
      </c>
      <c r="M3" t="s">
        <v>50</v>
      </c>
      <c r="O3" t="s">
        <v>50</v>
      </c>
      <c r="Q3" t="s">
        <v>50</v>
      </c>
      <c r="S3" t="s">
        <v>50</v>
      </c>
      <c r="U3" t="s">
        <v>50</v>
      </c>
      <c r="W3" t="s">
        <v>50</v>
      </c>
      <c r="Y3" t="s">
        <v>50</v>
      </c>
      <c r="AA3" t="s">
        <v>50</v>
      </c>
      <c r="AC3" t="s">
        <v>50</v>
      </c>
      <c r="AE3" t="s">
        <v>50</v>
      </c>
      <c r="AG3" t="s">
        <v>50</v>
      </c>
      <c r="AI3" t="s">
        <v>50</v>
      </c>
      <c r="AK3" t="s">
        <v>50</v>
      </c>
      <c r="AM3" t="s">
        <v>50</v>
      </c>
      <c r="AO3" t="s">
        <v>50</v>
      </c>
      <c r="AQ3" t="s">
        <v>50</v>
      </c>
      <c r="AS3" t="s">
        <v>50</v>
      </c>
      <c r="AU3" t="s">
        <v>50</v>
      </c>
      <c r="AW3" t="s">
        <v>50</v>
      </c>
      <c r="AY3" t="s">
        <v>50</v>
      </c>
      <c r="BA3" t="s">
        <v>50</v>
      </c>
      <c r="BC3" t="s">
        <v>50</v>
      </c>
    </row>
    <row r="4" spans="1:55" x14ac:dyDescent="0.3">
      <c r="A4" t="s">
        <v>31</v>
      </c>
      <c r="C4">
        <v>107.5</v>
      </c>
      <c r="E4">
        <v>106.3</v>
      </c>
      <c r="G4">
        <v>102.7</v>
      </c>
      <c r="I4">
        <v>103.6</v>
      </c>
      <c r="K4">
        <v>101.1</v>
      </c>
      <c r="M4">
        <v>102.3</v>
      </c>
      <c r="O4">
        <v>101.4</v>
      </c>
      <c r="Q4">
        <v>103.5</v>
      </c>
      <c r="S4">
        <v>85.3</v>
      </c>
      <c r="U4">
        <v>101.8</v>
      </c>
      <c r="W4">
        <v>104.8</v>
      </c>
      <c r="Y4">
        <v>106.7</v>
      </c>
      <c r="AA4">
        <v>105.5</v>
      </c>
      <c r="AC4">
        <v>105.1</v>
      </c>
      <c r="AE4">
        <v>105.9</v>
      </c>
      <c r="AG4">
        <v>105</v>
      </c>
      <c r="AI4">
        <v>105.8</v>
      </c>
      <c r="AK4">
        <v>100.3</v>
      </c>
      <c r="AM4">
        <v>105.4</v>
      </c>
      <c r="AO4">
        <v>104.8</v>
      </c>
      <c r="AQ4">
        <v>104</v>
      </c>
      <c r="AS4">
        <v>103.2</v>
      </c>
      <c r="AU4">
        <v>102.9</v>
      </c>
      <c r="AW4">
        <v>103.5</v>
      </c>
      <c r="AY4">
        <v>102.1</v>
      </c>
      <c r="BA4">
        <v>103.7</v>
      </c>
      <c r="BC4">
        <v>104</v>
      </c>
    </row>
    <row r="5" spans="1:55" x14ac:dyDescent="0.3">
      <c r="A5" t="s">
        <v>35</v>
      </c>
      <c r="C5">
        <v>108.4</v>
      </c>
      <c r="E5">
        <v>107.3</v>
      </c>
      <c r="G5">
        <v>104.7</v>
      </c>
      <c r="I5">
        <v>104</v>
      </c>
      <c r="K5">
        <v>101.3</v>
      </c>
      <c r="M5">
        <v>103.1</v>
      </c>
      <c r="O5">
        <v>101.9</v>
      </c>
      <c r="Q5">
        <v>104.1</v>
      </c>
      <c r="S5">
        <v>85.7</v>
      </c>
      <c r="U5">
        <v>102.3</v>
      </c>
      <c r="W5">
        <v>104.9</v>
      </c>
      <c r="Y5">
        <v>107.3</v>
      </c>
      <c r="AA5">
        <v>105.6</v>
      </c>
      <c r="AC5">
        <v>105.2</v>
      </c>
      <c r="AE5">
        <v>106.3</v>
      </c>
      <c r="AG5">
        <v>105.5</v>
      </c>
      <c r="AI5">
        <v>106.2</v>
      </c>
      <c r="AK5">
        <v>100.4</v>
      </c>
      <c r="AM5">
        <v>105.5</v>
      </c>
      <c r="AO5">
        <v>105.2</v>
      </c>
      <c r="AQ5">
        <v>104.1</v>
      </c>
      <c r="AS5">
        <v>103.3</v>
      </c>
      <c r="AU5">
        <v>103.1</v>
      </c>
      <c r="AW5">
        <v>103.6</v>
      </c>
      <c r="AY5">
        <v>102.3</v>
      </c>
      <c r="BA5">
        <v>103.9</v>
      </c>
      <c r="BC5">
        <v>104.6</v>
      </c>
    </row>
    <row r="6" spans="1:55" x14ac:dyDescent="0.3">
      <c r="A6" t="s">
        <v>36</v>
      </c>
      <c r="C6">
        <v>109.2</v>
      </c>
      <c r="E6">
        <v>108.7</v>
      </c>
      <c r="G6">
        <v>105.9</v>
      </c>
      <c r="I6">
        <v>104.3</v>
      </c>
      <c r="K6">
        <v>101.5</v>
      </c>
      <c r="M6">
        <v>103.2</v>
      </c>
      <c r="O6">
        <v>102.2</v>
      </c>
      <c r="Q6">
        <v>104.6</v>
      </c>
      <c r="S6">
        <v>86.3</v>
      </c>
      <c r="U6">
        <v>102.4</v>
      </c>
      <c r="W6">
        <v>105.1</v>
      </c>
      <c r="Y6">
        <v>107.7</v>
      </c>
      <c r="AA6">
        <v>105.9</v>
      </c>
      <c r="AC6">
        <v>105.6</v>
      </c>
      <c r="AE6">
        <v>106.5</v>
      </c>
      <c r="AG6">
        <v>105.8</v>
      </c>
      <c r="AI6">
        <v>106.4</v>
      </c>
      <c r="AK6">
        <v>100.5</v>
      </c>
      <c r="AM6">
        <v>105.7</v>
      </c>
      <c r="AO6">
        <v>105.6</v>
      </c>
      <c r="AQ6">
        <v>104.4</v>
      </c>
      <c r="AS6">
        <v>103.9</v>
      </c>
      <c r="AU6">
        <v>103.3</v>
      </c>
      <c r="AW6">
        <v>103.7</v>
      </c>
      <c r="AY6">
        <v>102.5</v>
      </c>
      <c r="BA6">
        <v>104</v>
      </c>
      <c r="BC6">
        <v>104.7</v>
      </c>
    </row>
    <row r="7" spans="1:55" x14ac:dyDescent="0.3">
      <c r="A7" t="s">
        <v>37</v>
      </c>
      <c r="C7">
        <v>110.2</v>
      </c>
      <c r="E7">
        <v>108.8</v>
      </c>
      <c r="G7">
        <v>106</v>
      </c>
      <c r="I7">
        <v>104.4</v>
      </c>
      <c r="K7">
        <v>101.7</v>
      </c>
      <c r="M7">
        <v>103.6</v>
      </c>
      <c r="O7">
        <v>102.4</v>
      </c>
      <c r="Q7">
        <v>104.7</v>
      </c>
      <c r="S7">
        <v>89.4</v>
      </c>
      <c r="U7">
        <v>102.7</v>
      </c>
      <c r="W7">
        <v>105.5</v>
      </c>
      <c r="Y7">
        <v>107.9</v>
      </c>
      <c r="AA7">
        <v>106.3</v>
      </c>
      <c r="AC7">
        <v>105.7</v>
      </c>
      <c r="AE7">
        <v>106.6</v>
      </c>
      <c r="AG7">
        <v>106</v>
      </c>
      <c r="AI7">
        <v>106.8</v>
      </c>
      <c r="AK7">
        <v>106.6</v>
      </c>
      <c r="AM7">
        <v>106</v>
      </c>
      <c r="AO7">
        <v>105.7</v>
      </c>
      <c r="AQ7">
        <v>104.5</v>
      </c>
      <c r="AS7">
        <v>104</v>
      </c>
      <c r="AU7">
        <v>103.4</v>
      </c>
      <c r="AW7">
        <v>103.8</v>
      </c>
      <c r="AY7">
        <v>102.6</v>
      </c>
      <c r="BA7">
        <v>104.3</v>
      </c>
      <c r="BC7">
        <v>105</v>
      </c>
    </row>
    <row r="8" spans="1:55" x14ac:dyDescent="0.3">
      <c r="A8" t="s">
        <v>38</v>
      </c>
      <c r="C8">
        <v>110.4</v>
      </c>
      <c r="E8">
        <v>109.1</v>
      </c>
      <c r="G8">
        <v>106.6</v>
      </c>
      <c r="I8">
        <v>104.7</v>
      </c>
      <c r="K8">
        <v>102.1</v>
      </c>
      <c r="M8">
        <v>103.9</v>
      </c>
      <c r="O8">
        <v>102.9</v>
      </c>
      <c r="Q8">
        <v>105</v>
      </c>
      <c r="S8">
        <v>89.8</v>
      </c>
      <c r="U8">
        <v>102.8</v>
      </c>
      <c r="W8">
        <v>105.6</v>
      </c>
      <c r="Y8">
        <v>108.2</v>
      </c>
      <c r="AA8">
        <v>106.6</v>
      </c>
      <c r="AC8">
        <v>106</v>
      </c>
      <c r="AE8">
        <v>106.9</v>
      </c>
      <c r="AG8">
        <v>106.3</v>
      </c>
      <c r="AI8">
        <v>107</v>
      </c>
      <c r="AK8">
        <v>107.7</v>
      </c>
      <c r="AM8">
        <v>106.1</v>
      </c>
      <c r="AO8">
        <v>106.1</v>
      </c>
      <c r="AQ8">
        <v>104.7</v>
      </c>
      <c r="AS8">
        <v>104.1</v>
      </c>
      <c r="AU8">
        <v>103.5</v>
      </c>
      <c r="AW8">
        <v>103.9</v>
      </c>
      <c r="AY8">
        <v>102.7</v>
      </c>
      <c r="BA8">
        <v>104.4</v>
      </c>
      <c r="BC8">
        <v>105.1</v>
      </c>
    </row>
    <row r="9" spans="1:55" x14ac:dyDescent="0.3">
      <c r="A9" t="s">
        <v>39</v>
      </c>
      <c r="C9">
        <v>110.5</v>
      </c>
      <c r="E9">
        <v>109.5</v>
      </c>
      <c r="G9">
        <v>106.9</v>
      </c>
      <c r="I9">
        <v>104.9</v>
      </c>
      <c r="K9">
        <v>102.3</v>
      </c>
      <c r="M9">
        <v>104</v>
      </c>
      <c r="O9">
        <v>103.2</v>
      </c>
      <c r="Q9">
        <v>105.1</v>
      </c>
      <c r="S9">
        <v>90.4</v>
      </c>
      <c r="U9">
        <v>103</v>
      </c>
      <c r="W9">
        <v>106</v>
      </c>
      <c r="Y9">
        <v>108.3</v>
      </c>
      <c r="AA9">
        <v>106.9</v>
      </c>
      <c r="AC9">
        <v>106.5</v>
      </c>
      <c r="AE9">
        <v>107.1</v>
      </c>
      <c r="AG9">
        <v>106.4</v>
      </c>
      <c r="AI9">
        <v>107.3</v>
      </c>
      <c r="AK9">
        <v>108.9</v>
      </c>
      <c r="AM9">
        <v>106.2</v>
      </c>
      <c r="AO9">
        <v>106.3</v>
      </c>
      <c r="AQ9">
        <v>104.9</v>
      </c>
      <c r="AS9">
        <v>104.2</v>
      </c>
      <c r="AU9">
        <v>103.6</v>
      </c>
      <c r="AW9">
        <v>104</v>
      </c>
      <c r="AY9">
        <v>102.8</v>
      </c>
      <c r="BA9">
        <v>104.6</v>
      </c>
      <c r="BC9">
        <v>105.3</v>
      </c>
    </row>
    <row r="10" spans="1:55" x14ac:dyDescent="0.3">
      <c r="A10" t="s">
        <v>40</v>
      </c>
      <c r="C10">
        <v>110.9</v>
      </c>
      <c r="E10">
        <v>109.7</v>
      </c>
      <c r="G10">
        <v>108.1</v>
      </c>
      <c r="I10">
        <v>105.1</v>
      </c>
      <c r="K10">
        <v>102.5</v>
      </c>
      <c r="M10">
        <v>104.9</v>
      </c>
      <c r="O10">
        <v>103.4</v>
      </c>
      <c r="Q10">
        <v>105.2</v>
      </c>
      <c r="S10">
        <v>90.5</v>
      </c>
      <c r="U10">
        <v>103.1</v>
      </c>
      <c r="W10">
        <v>106.2</v>
      </c>
      <c r="Y10">
        <v>108.8</v>
      </c>
      <c r="AA10">
        <v>107.1</v>
      </c>
      <c r="AC10">
        <v>106.6</v>
      </c>
      <c r="AE10">
        <v>107.2</v>
      </c>
      <c r="AG10">
        <v>106.5</v>
      </c>
      <c r="AI10">
        <v>107.5</v>
      </c>
      <c r="AK10">
        <v>109.7</v>
      </c>
      <c r="AM10">
        <v>106.4</v>
      </c>
      <c r="AO10">
        <v>106.5</v>
      </c>
      <c r="AQ10">
        <v>105.1</v>
      </c>
      <c r="AS10">
        <v>104.4</v>
      </c>
      <c r="AU10">
        <v>103.7</v>
      </c>
      <c r="AW10">
        <v>104.1</v>
      </c>
      <c r="AY10">
        <v>102.9</v>
      </c>
      <c r="BA10">
        <v>104.7</v>
      </c>
      <c r="BC10">
        <v>105.5</v>
      </c>
    </row>
    <row r="11" spans="1:55" x14ac:dyDescent="0.3">
      <c r="A11" t="s">
        <v>41</v>
      </c>
      <c r="C11">
        <v>111.4</v>
      </c>
      <c r="E11">
        <v>109.8</v>
      </c>
      <c r="G11">
        <v>109.8</v>
      </c>
      <c r="I11">
        <v>105.4</v>
      </c>
      <c r="K11">
        <v>102.7</v>
      </c>
      <c r="M11">
        <v>105.3</v>
      </c>
      <c r="O11">
        <v>103.8</v>
      </c>
      <c r="Q11">
        <v>105.3</v>
      </c>
      <c r="S11">
        <v>90.8</v>
      </c>
      <c r="U11">
        <v>103.2</v>
      </c>
      <c r="W11">
        <v>106.5</v>
      </c>
      <c r="Y11">
        <v>108.9</v>
      </c>
      <c r="AA11">
        <v>107.2</v>
      </c>
      <c r="AC11">
        <v>106.8</v>
      </c>
      <c r="AE11">
        <v>107.4</v>
      </c>
      <c r="AG11">
        <v>106.7</v>
      </c>
      <c r="AI11">
        <v>107.7</v>
      </c>
      <c r="AK11">
        <v>110.5</v>
      </c>
      <c r="AM11">
        <v>106.5</v>
      </c>
      <c r="AO11">
        <v>106.8</v>
      </c>
      <c r="AQ11">
        <v>105.2</v>
      </c>
      <c r="AS11">
        <v>104.6</v>
      </c>
      <c r="AU11">
        <v>104</v>
      </c>
      <c r="AW11">
        <v>104.3</v>
      </c>
      <c r="AY11">
        <v>103.2</v>
      </c>
      <c r="BA11">
        <v>104.8</v>
      </c>
      <c r="BC11">
        <v>105.7</v>
      </c>
    </row>
    <row r="12" spans="1:55" x14ac:dyDescent="0.3">
      <c r="A12" t="s">
        <v>42</v>
      </c>
      <c r="C12">
        <v>111.6</v>
      </c>
      <c r="E12">
        <v>110.2</v>
      </c>
      <c r="G12">
        <v>109.9</v>
      </c>
      <c r="I12">
        <v>105.5</v>
      </c>
      <c r="K12">
        <v>102.8</v>
      </c>
      <c r="M12">
        <v>105.7</v>
      </c>
      <c r="O12">
        <v>104.9</v>
      </c>
      <c r="Q12">
        <v>105.4</v>
      </c>
      <c r="S12">
        <v>91.3</v>
      </c>
      <c r="U12">
        <v>103.3</v>
      </c>
      <c r="W12">
        <v>107</v>
      </c>
      <c r="Y12">
        <v>109</v>
      </c>
      <c r="AA12">
        <v>107.3</v>
      </c>
      <c r="AC12">
        <v>107.1</v>
      </c>
      <c r="AE12">
        <v>107.6</v>
      </c>
      <c r="AG12">
        <v>106.8</v>
      </c>
      <c r="AI12">
        <v>107.9</v>
      </c>
      <c r="AK12">
        <v>110.7</v>
      </c>
      <c r="AM12">
        <v>107.2</v>
      </c>
      <c r="AO12">
        <v>106.9</v>
      </c>
      <c r="AQ12">
        <v>105.3</v>
      </c>
      <c r="AS12">
        <v>104.7</v>
      </c>
      <c r="AU12">
        <v>104.2</v>
      </c>
      <c r="AW12">
        <v>104.8</v>
      </c>
      <c r="AY12">
        <v>103.3</v>
      </c>
      <c r="BA12">
        <v>104.9</v>
      </c>
      <c r="BC12">
        <v>105.8</v>
      </c>
    </row>
    <row r="13" spans="1:55" x14ac:dyDescent="0.3">
      <c r="A13" t="s">
        <v>43</v>
      </c>
      <c r="C13">
        <v>112.3</v>
      </c>
      <c r="E13">
        <v>110.9</v>
      </c>
      <c r="G13">
        <v>110</v>
      </c>
      <c r="I13">
        <v>105.6</v>
      </c>
      <c r="K13">
        <v>102.9</v>
      </c>
      <c r="M13">
        <v>106.2</v>
      </c>
      <c r="O13">
        <v>105.5</v>
      </c>
      <c r="Q13">
        <v>105.7</v>
      </c>
      <c r="S13">
        <v>91.6</v>
      </c>
      <c r="U13">
        <v>103.5</v>
      </c>
      <c r="W13">
        <v>107.2</v>
      </c>
      <c r="Y13">
        <v>109.6</v>
      </c>
      <c r="AA13">
        <v>107.7</v>
      </c>
      <c r="AC13">
        <v>107.5</v>
      </c>
      <c r="AE13">
        <v>107.9</v>
      </c>
      <c r="AG13">
        <v>107</v>
      </c>
      <c r="AI13">
        <v>108</v>
      </c>
      <c r="AK13">
        <v>111.1</v>
      </c>
      <c r="AM13">
        <v>107.4</v>
      </c>
      <c r="AO13">
        <v>107.1</v>
      </c>
      <c r="AQ13">
        <v>105.7</v>
      </c>
      <c r="AS13">
        <v>105</v>
      </c>
      <c r="AU13">
        <v>104.5</v>
      </c>
      <c r="AW13">
        <v>105</v>
      </c>
      <c r="AY13">
        <v>104.2</v>
      </c>
      <c r="BA13">
        <v>105.1</v>
      </c>
      <c r="BC13">
        <v>106</v>
      </c>
    </row>
    <row r="14" spans="1:55" x14ac:dyDescent="0.3">
      <c r="A14" t="s">
        <v>45</v>
      </c>
      <c r="C14">
        <v>112.9</v>
      </c>
      <c r="E14">
        <v>111.3</v>
      </c>
      <c r="G14">
        <v>110.2</v>
      </c>
      <c r="I14">
        <v>105.7</v>
      </c>
      <c r="K14">
        <v>103</v>
      </c>
      <c r="M14">
        <v>107.3</v>
      </c>
      <c r="O14">
        <v>107.3</v>
      </c>
      <c r="Q14">
        <v>105.8</v>
      </c>
      <c r="S14">
        <v>92.3</v>
      </c>
      <c r="U14">
        <v>104</v>
      </c>
      <c r="W14">
        <v>107.4</v>
      </c>
      <c r="Y14">
        <v>109.8</v>
      </c>
      <c r="AA14">
        <v>108.1</v>
      </c>
      <c r="AC14">
        <v>108.1</v>
      </c>
      <c r="AE14">
        <v>108</v>
      </c>
      <c r="AG14">
        <v>107.2</v>
      </c>
      <c r="AI14">
        <v>108.3</v>
      </c>
      <c r="AK14">
        <v>111.6</v>
      </c>
      <c r="AM14">
        <v>107.5</v>
      </c>
      <c r="AO14">
        <v>107.5</v>
      </c>
      <c r="AQ14">
        <v>105.9</v>
      </c>
      <c r="AS14">
        <v>105.1</v>
      </c>
      <c r="AU14">
        <v>104.6</v>
      </c>
      <c r="AW14">
        <v>105.2</v>
      </c>
      <c r="AY14">
        <v>104.3</v>
      </c>
      <c r="BA14">
        <v>105.5</v>
      </c>
      <c r="BC14">
        <v>106.1</v>
      </c>
    </row>
    <row r="15" spans="1:55" x14ac:dyDescent="0.3">
      <c r="A15" t="s">
        <v>46</v>
      </c>
      <c r="C15">
        <v>113.4</v>
      </c>
      <c r="E15">
        <v>111.4</v>
      </c>
      <c r="G15">
        <v>110.5</v>
      </c>
      <c r="I15">
        <v>106.3</v>
      </c>
      <c r="K15">
        <v>103.1</v>
      </c>
      <c r="M15">
        <v>108.1</v>
      </c>
      <c r="O15">
        <v>109.7</v>
      </c>
      <c r="Q15">
        <v>105.9</v>
      </c>
      <c r="S15">
        <v>92.5</v>
      </c>
      <c r="U15">
        <v>104.3</v>
      </c>
      <c r="W15">
        <v>108.1</v>
      </c>
      <c r="Y15">
        <v>109.9</v>
      </c>
      <c r="AA15">
        <v>108.8</v>
      </c>
      <c r="AC15">
        <v>108.5</v>
      </c>
      <c r="AE15">
        <v>108.1</v>
      </c>
      <c r="AG15">
        <v>107.4</v>
      </c>
      <c r="AI15">
        <v>108.5</v>
      </c>
      <c r="AK15">
        <v>112.5</v>
      </c>
      <c r="AM15">
        <v>108</v>
      </c>
      <c r="AO15">
        <v>107.6</v>
      </c>
      <c r="AQ15">
        <v>106.2</v>
      </c>
      <c r="AS15">
        <v>105.2</v>
      </c>
      <c r="AU15">
        <v>104.8</v>
      </c>
      <c r="AW15">
        <v>105.5</v>
      </c>
      <c r="AY15">
        <v>104.5</v>
      </c>
      <c r="BA15">
        <v>105.8</v>
      </c>
      <c r="BC15">
        <v>106.4</v>
      </c>
    </row>
    <row r="16" spans="1:55" x14ac:dyDescent="0.3">
      <c r="A16" t="s">
        <v>47</v>
      </c>
      <c r="C16">
        <v>113.8</v>
      </c>
      <c r="E16">
        <v>112.1</v>
      </c>
      <c r="G16">
        <v>111.1</v>
      </c>
      <c r="I16">
        <v>106.8</v>
      </c>
      <c r="K16">
        <v>103.2</v>
      </c>
      <c r="M16">
        <v>108.3</v>
      </c>
      <c r="O16">
        <v>111.5</v>
      </c>
      <c r="Q16">
        <v>106</v>
      </c>
      <c r="S16">
        <v>92.7</v>
      </c>
      <c r="U16">
        <v>105</v>
      </c>
      <c r="W16">
        <v>108.2</v>
      </c>
      <c r="Y16">
        <v>110.5</v>
      </c>
      <c r="AA16">
        <v>109.2</v>
      </c>
      <c r="AC16">
        <v>108.6</v>
      </c>
      <c r="AE16">
        <v>108.5</v>
      </c>
      <c r="AG16">
        <v>107.8</v>
      </c>
      <c r="AI16">
        <v>108.6</v>
      </c>
      <c r="AK16">
        <v>113.2</v>
      </c>
      <c r="AM16">
        <v>108.3</v>
      </c>
      <c r="AO16">
        <v>107.7</v>
      </c>
      <c r="AQ16">
        <v>106.3</v>
      </c>
      <c r="AS16">
        <v>105.5</v>
      </c>
      <c r="AU16">
        <v>105</v>
      </c>
      <c r="AW16">
        <v>105.6</v>
      </c>
      <c r="AY16">
        <v>104.6</v>
      </c>
      <c r="BA16">
        <v>106.1</v>
      </c>
      <c r="BC16">
        <v>106.6</v>
      </c>
    </row>
    <row r="17" spans="1:55" x14ac:dyDescent="0.3">
      <c r="A17" t="s">
        <v>44</v>
      </c>
      <c r="C17">
        <v>113.9</v>
      </c>
      <c r="E17">
        <v>112.9</v>
      </c>
      <c r="G17">
        <v>111.2</v>
      </c>
      <c r="I17">
        <v>107.3</v>
      </c>
      <c r="K17">
        <v>103.4</v>
      </c>
      <c r="M17">
        <v>108.7</v>
      </c>
      <c r="O17">
        <v>112.9</v>
      </c>
      <c r="Q17">
        <v>106.1</v>
      </c>
      <c r="S17">
        <v>93.1</v>
      </c>
      <c r="U17">
        <v>105.4</v>
      </c>
      <c r="W17">
        <v>109</v>
      </c>
      <c r="Y17">
        <v>110.6</v>
      </c>
      <c r="AA17">
        <v>110.6</v>
      </c>
      <c r="AC17">
        <v>109</v>
      </c>
      <c r="AE17">
        <v>108.7</v>
      </c>
      <c r="AG17">
        <v>107.9</v>
      </c>
      <c r="AI17">
        <v>108.9</v>
      </c>
      <c r="AK17">
        <v>113.9</v>
      </c>
      <c r="AM17">
        <v>108.5</v>
      </c>
      <c r="AO17">
        <v>108.1</v>
      </c>
      <c r="AQ17">
        <v>106.4</v>
      </c>
      <c r="AS17">
        <v>106.8</v>
      </c>
      <c r="AU17">
        <v>105.2</v>
      </c>
      <c r="AW17">
        <v>105.7</v>
      </c>
      <c r="AY17">
        <v>104.7</v>
      </c>
      <c r="BA17">
        <v>106.5</v>
      </c>
      <c r="BC17">
        <v>106.9</v>
      </c>
    </row>
    <row r="18" spans="1:55" x14ac:dyDescent="0.3">
      <c r="A18" t="s">
        <v>51</v>
      </c>
      <c r="C18">
        <v>114.3</v>
      </c>
      <c r="E18">
        <v>113.4</v>
      </c>
      <c r="G18">
        <v>111.3</v>
      </c>
      <c r="I18">
        <v>107.5</v>
      </c>
      <c r="K18">
        <v>103.5</v>
      </c>
      <c r="M18">
        <v>108.9</v>
      </c>
      <c r="O18">
        <v>113.3</v>
      </c>
      <c r="Q18">
        <v>106.3</v>
      </c>
      <c r="S18">
        <v>93.2</v>
      </c>
      <c r="U18">
        <v>105.7</v>
      </c>
      <c r="W18">
        <v>109.1</v>
      </c>
      <c r="Y18">
        <v>111</v>
      </c>
      <c r="AA18">
        <v>111.1</v>
      </c>
      <c r="AC18">
        <v>109.5</v>
      </c>
      <c r="AE18">
        <v>108.8</v>
      </c>
      <c r="AG18">
        <v>108.1</v>
      </c>
      <c r="AI18">
        <v>109.3</v>
      </c>
      <c r="AK18">
        <v>114.3</v>
      </c>
      <c r="AM18">
        <v>108.6</v>
      </c>
      <c r="AO18">
        <v>108.2</v>
      </c>
      <c r="AQ18">
        <v>106.5</v>
      </c>
      <c r="AS18">
        <v>107.1</v>
      </c>
      <c r="AU18">
        <v>105.4</v>
      </c>
      <c r="AW18">
        <v>106.5</v>
      </c>
      <c r="AY18">
        <v>105</v>
      </c>
      <c r="BA18">
        <v>106.9</v>
      </c>
      <c r="BC18">
        <v>107.2</v>
      </c>
    </row>
    <row r="19" spans="1:55" x14ac:dyDescent="0.3">
      <c r="C19">
        <v>114.6</v>
      </c>
      <c r="E19">
        <v>114.2</v>
      </c>
      <c r="G19">
        <v>111.7</v>
      </c>
      <c r="I19">
        <v>107.9</v>
      </c>
      <c r="K19">
        <v>103.6</v>
      </c>
      <c r="M19">
        <v>109.2</v>
      </c>
      <c r="O19">
        <v>114.5</v>
      </c>
      <c r="Q19">
        <v>106.4</v>
      </c>
      <c r="S19">
        <v>93.3</v>
      </c>
      <c r="U19">
        <v>106.4</v>
      </c>
      <c r="W19">
        <v>109.6</v>
      </c>
      <c r="Y19">
        <v>111.3</v>
      </c>
      <c r="AA19">
        <v>112.2</v>
      </c>
      <c r="AC19">
        <v>109.8</v>
      </c>
      <c r="AE19">
        <v>109.2</v>
      </c>
      <c r="AG19">
        <v>108.3</v>
      </c>
      <c r="AI19">
        <v>109.5</v>
      </c>
      <c r="AK19">
        <v>114.8</v>
      </c>
      <c r="AM19">
        <v>109.2</v>
      </c>
      <c r="AO19">
        <v>108.3</v>
      </c>
      <c r="AQ19">
        <v>106.9</v>
      </c>
      <c r="AS19">
        <v>107.3</v>
      </c>
      <c r="AU19">
        <v>105.6</v>
      </c>
      <c r="AW19">
        <v>107.4</v>
      </c>
      <c r="AY19">
        <v>105.4</v>
      </c>
      <c r="BA19">
        <v>107.3</v>
      </c>
      <c r="BC19">
        <v>108.9</v>
      </c>
    </row>
    <row r="20" spans="1:55" x14ac:dyDescent="0.3">
      <c r="C20">
        <v>114.8</v>
      </c>
      <c r="E20">
        <v>114.9</v>
      </c>
      <c r="G20">
        <v>111.9</v>
      </c>
      <c r="I20">
        <v>108.3</v>
      </c>
      <c r="K20">
        <v>103.9</v>
      </c>
      <c r="M20">
        <v>109.3</v>
      </c>
      <c r="O20">
        <v>116</v>
      </c>
      <c r="Q20">
        <v>106.5</v>
      </c>
      <c r="S20">
        <v>93.7</v>
      </c>
      <c r="U20">
        <v>106.8</v>
      </c>
      <c r="W20">
        <v>109.7</v>
      </c>
      <c r="Y20">
        <v>111.6</v>
      </c>
      <c r="AA20">
        <v>113.1</v>
      </c>
      <c r="AC20">
        <v>110.3</v>
      </c>
      <c r="AE20">
        <v>109.5</v>
      </c>
      <c r="AG20">
        <v>108.8</v>
      </c>
      <c r="AI20">
        <v>110</v>
      </c>
      <c r="AK20">
        <v>115.5</v>
      </c>
      <c r="AM20">
        <v>109.3</v>
      </c>
      <c r="AO20">
        <v>108.7</v>
      </c>
      <c r="AQ20">
        <v>107</v>
      </c>
      <c r="AS20">
        <v>107.8</v>
      </c>
      <c r="AU20">
        <v>105.9</v>
      </c>
      <c r="AW20">
        <v>107.8</v>
      </c>
      <c r="AY20">
        <v>106</v>
      </c>
      <c r="BA20">
        <v>107.5</v>
      </c>
      <c r="BC20">
        <v>109.3</v>
      </c>
    </row>
    <row r="21" spans="1:55" x14ac:dyDescent="0.3">
      <c r="C21">
        <v>115.4</v>
      </c>
      <c r="E21">
        <v>115.4</v>
      </c>
      <c r="G21">
        <v>112.3</v>
      </c>
      <c r="I21">
        <v>108.9</v>
      </c>
      <c r="K21">
        <v>104.2</v>
      </c>
      <c r="M21">
        <v>109.5</v>
      </c>
      <c r="O21">
        <v>116.3</v>
      </c>
      <c r="Q21">
        <v>106.8</v>
      </c>
      <c r="S21">
        <v>94.1</v>
      </c>
      <c r="U21">
        <v>106.9</v>
      </c>
      <c r="W21">
        <v>110</v>
      </c>
      <c r="Y21">
        <v>112.1</v>
      </c>
      <c r="AA21">
        <v>114.7</v>
      </c>
      <c r="AC21">
        <v>110.7</v>
      </c>
      <c r="AE21">
        <v>109.7</v>
      </c>
      <c r="AG21">
        <v>109</v>
      </c>
      <c r="AI21">
        <v>110.2</v>
      </c>
      <c r="AK21">
        <v>116.1</v>
      </c>
      <c r="AM21">
        <v>109.5</v>
      </c>
      <c r="AO21">
        <v>109.6</v>
      </c>
      <c r="AQ21">
        <v>107.1</v>
      </c>
      <c r="AS21">
        <v>107.9</v>
      </c>
      <c r="AU21">
        <v>106.1</v>
      </c>
      <c r="AW21">
        <v>108.1</v>
      </c>
      <c r="AY21">
        <v>106.7</v>
      </c>
      <c r="BA21">
        <v>107.9</v>
      </c>
      <c r="BC21">
        <v>109.7</v>
      </c>
    </row>
    <row r="22" spans="1:55" x14ac:dyDescent="0.3">
      <c r="C22">
        <v>115.6</v>
      </c>
      <c r="E22">
        <v>115.7</v>
      </c>
      <c r="G22">
        <v>112.5</v>
      </c>
      <c r="I22">
        <v>109.3</v>
      </c>
      <c r="K22">
        <v>104.3</v>
      </c>
      <c r="M22">
        <v>109.8</v>
      </c>
      <c r="O22">
        <v>117.9</v>
      </c>
      <c r="Q22">
        <v>107.1</v>
      </c>
      <c r="S22">
        <v>94.5</v>
      </c>
      <c r="U22">
        <v>107.4</v>
      </c>
      <c r="W22">
        <v>110.2</v>
      </c>
      <c r="Y22">
        <v>112.2</v>
      </c>
      <c r="AA22">
        <v>114.9</v>
      </c>
      <c r="AC22">
        <v>110.9</v>
      </c>
      <c r="AE22">
        <v>109.8</v>
      </c>
      <c r="AG22">
        <v>109.4</v>
      </c>
      <c r="AI22">
        <v>110.3</v>
      </c>
      <c r="AK22">
        <v>116.5</v>
      </c>
      <c r="AM22">
        <v>109.7</v>
      </c>
      <c r="AO22">
        <v>110.2</v>
      </c>
      <c r="AQ22">
        <v>107.5</v>
      </c>
      <c r="AS22">
        <v>108</v>
      </c>
      <c r="AU22">
        <v>106.4</v>
      </c>
      <c r="AW22">
        <v>108.7</v>
      </c>
      <c r="AY22">
        <v>106.8</v>
      </c>
      <c r="BA22">
        <v>108.3</v>
      </c>
      <c r="BC22">
        <v>110.7</v>
      </c>
    </row>
    <row r="23" spans="1:55" x14ac:dyDescent="0.3">
      <c r="C23">
        <v>116.3</v>
      </c>
      <c r="E23">
        <v>115.9</v>
      </c>
      <c r="G23">
        <v>112.6</v>
      </c>
      <c r="I23">
        <v>109.6</v>
      </c>
      <c r="K23">
        <v>104.4</v>
      </c>
      <c r="M23">
        <v>109.9</v>
      </c>
      <c r="O23">
        <v>118</v>
      </c>
      <c r="Q23">
        <v>107.3</v>
      </c>
      <c r="S23">
        <v>95</v>
      </c>
      <c r="U23">
        <v>107.5</v>
      </c>
      <c r="W23">
        <v>110.4</v>
      </c>
      <c r="Y23">
        <v>112.6</v>
      </c>
      <c r="AA23">
        <v>115</v>
      </c>
      <c r="AC23">
        <v>111.2</v>
      </c>
      <c r="AE23">
        <v>110.2</v>
      </c>
      <c r="AG23">
        <v>109.5</v>
      </c>
      <c r="AI23">
        <v>110.7</v>
      </c>
      <c r="AK23">
        <v>116.7</v>
      </c>
      <c r="AM23">
        <v>109.9</v>
      </c>
      <c r="AO23">
        <v>110.3</v>
      </c>
      <c r="AQ23">
        <v>107.6</v>
      </c>
      <c r="AS23">
        <v>108.1</v>
      </c>
      <c r="AU23">
        <v>106.5</v>
      </c>
      <c r="AW23">
        <v>109.1</v>
      </c>
      <c r="AY23">
        <v>106.9</v>
      </c>
      <c r="BA23">
        <v>108.7</v>
      </c>
      <c r="BC23">
        <v>111</v>
      </c>
    </row>
    <row r="24" spans="1:55" x14ac:dyDescent="0.3">
      <c r="C24">
        <v>116.4</v>
      </c>
      <c r="E24">
        <v>116.3</v>
      </c>
      <c r="G24">
        <v>112.7</v>
      </c>
      <c r="I24">
        <v>110</v>
      </c>
      <c r="K24">
        <v>104.5</v>
      </c>
      <c r="M24">
        <v>110</v>
      </c>
      <c r="O24">
        <v>118.7</v>
      </c>
      <c r="Q24">
        <v>107.4</v>
      </c>
      <c r="S24">
        <v>95.3</v>
      </c>
      <c r="U24">
        <v>107.9</v>
      </c>
      <c r="W24">
        <v>110.7</v>
      </c>
      <c r="Y24">
        <v>113.1</v>
      </c>
      <c r="AA24">
        <v>115.2</v>
      </c>
      <c r="AC24">
        <v>111.7</v>
      </c>
      <c r="AE24">
        <v>110.5</v>
      </c>
      <c r="AG24">
        <v>109.7</v>
      </c>
      <c r="AI24">
        <v>111.1</v>
      </c>
      <c r="AK24">
        <v>117.1</v>
      </c>
      <c r="AM24">
        <v>110</v>
      </c>
      <c r="AO24">
        <v>110.4</v>
      </c>
      <c r="AQ24">
        <v>107.9</v>
      </c>
      <c r="AS24">
        <v>108.4</v>
      </c>
      <c r="AU24">
        <v>106.6</v>
      </c>
      <c r="AW24">
        <v>109.8</v>
      </c>
      <c r="AY24">
        <v>107.3</v>
      </c>
      <c r="BA24">
        <v>109</v>
      </c>
      <c r="BC24">
        <v>111.4</v>
      </c>
    </row>
    <row r="25" spans="1:55" x14ac:dyDescent="0.3">
      <c r="C25">
        <v>117</v>
      </c>
      <c r="E25">
        <v>116.4</v>
      </c>
      <c r="G25">
        <v>112.8</v>
      </c>
      <c r="I25">
        <v>110.4</v>
      </c>
      <c r="K25">
        <v>104.8</v>
      </c>
      <c r="M25">
        <v>110.3</v>
      </c>
      <c r="O25">
        <v>118.9</v>
      </c>
      <c r="Q25">
        <v>107.5</v>
      </c>
      <c r="S25">
        <v>95.4</v>
      </c>
      <c r="U25">
        <v>108.2</v>
      </c>
      <c r="W25">
        <v>110.9</v>
      </c>
      <c r="Y25">
        <v>113.4</v>
      </c>
      <c r="AA25">
        <v>115.3</v>
      </c>
      <c r="AC25">
        <v>112</v>
      </c>
      <c r="AE25">
        <v>110.6</v>
      </c>
      <c r="AG25">
        <v>110.2</v>
      </c>
      <c r="AI25">
        <v>111.9</v>
      </c>
      <c r="AK25">
        <v>117.3</v>
      </c>
      <c r="AM25">
        <v>110.4</v>
      </c>
      <c r="AO25">
        <v>110.9</v>
      </c>
      <c r="AQ25">
        <v>108.1</v>
      </c>
      <c r="AS25">
        <v>108.5</v>
      </c>
      <c r="AU25">
        <v>106.8</v>
      </c>
      <c r="AW25">
        <v>109.9</v>
      </c>
      <c r="AY25">
        <v>107.4</v>
      </c>
      <c r="BA25">
        <v>109.1</v>
      </c>
      <c r="BC25">
        <v>112.1</v>
      </c>
    </row>
    <row r="26" spans="1:55" x14ac:dyDescent="0.3">
      <c r="C26">
        <v>117.1</v>
      </c>
      <c r="E26">
        <v>116.7</v>
      </c>
      <c r="G26">
        <v>113</v>
      </c>
      <c r="I26">
        <v>110.5</v>
      </c>
      <c r="K26">
        <v>104.9</v>
      </c>
      <c r="M26">
        <v>110.6</v>
      </c>
      <c r="O26">
        <v>119.1</v>
      </c>
      <c r="Q26">
        <v>108.1</v>
      </c>
      <c r="S26">
        <v>95.7</v>
      </c>
      <c r="U26">
        <v>108.3</v>
      </c>
      <c r="W26">
        <v>111.1</v>
      </c>
      <c r="Y26">
        <v>114</v>
      </c>
      <c r="AA26">
        <v>115.5</v>
      </c>
      <c r="AC26">
        <v>112.2</v>
      </c>
      <c r="AE26">
        <v>111</v>
      </c>
      <c r="AG26">
        <v>110.3</v>
      </c>
      <c r="AI26">
        <v>112</v>
      </c>
      <c r="AK26">
        <v>118.1</v>
      </c>
      <c r="AM26">
        <v>110.5</v>
      </c>
      <c r="AO26">
        <v>111.1</v>
      </c>
      <c r="AQ26">
        <v>108.2</v>
      </c>
      <c r="AS26">
        <v>108.7</v>
      </c>
      <c r="AU26">
        <v>107.4</v>
      </c>
      <c r="AW26">
        <v>110.1</v>
      </c>
      <c r="AY26">
        <v>107.5</v>
      </c>
      <c r="BA26">
        <v>109.2</v>
      </c>
      <c r="BC26">
        <v>112.4</v>
      </c>
    </row>
    <row r="27" spans="1:55" x14ac:dyDescent="0.3">
      <c r="C27">
        <v>117.3</v>
      </c>
      <c r="E27">
        <v>116.9</v>
      </c>
      <c r="G27">
        <v>113.2</v>
      </c>
      <c r="I27">
        <v>111</v>
      </c>
      <c r="K27">
        <v>105.1</v>
      </c>
      <c r="M27">
        <v>110.7</v>
      </c>
      <c r="O27">
        <v>119.4</v>
      </c>
      <c r="Q27">
        <v>108.2</v>
      </c>
      <c r="S27">
        <v>96.1</v>
      </c>
      <c r="U27">
        <v>108.5</v>
      </c>
      <c r="W27">
        <v>111.2</v>
      </c>
      <c r="Y27">
        <v>114.3</v>
      </c>
      <c r="AA27">
        <v>115.8</v>
      </c>
      <c r="AC27">
        <v>112.4</v>
      </c>
      <c r="AE27">
        <v>111.3</v>
      </c>
      <c r="AG27">
        <v>110.4</v>
      </c>
      <c r="AI27">
        <v>112.5</v>
      </c>
      <c r="AK27">
        <v>118.6</v>
      </c>
      <c r="AM27">
        <v>110.9</v>
      </c>
      <c r="AO27">
        <v>111.3</v>
      </c>
      <c r="AQ27">
        <v>108.3</v>
      </c>
      <c r="AS27">
        <v>108.8</v>
      </c>
      <c r="AU27">
        <v>107.5</v>
      </c>
      <c r="AW27">
        <v>110.2</v>
      </c>
      <c r="AY27">
        <v>107.7</v>
      </c>
      <c r="BA27">
        <v>109.4</v>
      </c>
      <c r="BC27">
        <v>112.7</v>
      </c>
    </row>
    <row r="28" spans="1:55" x14ac:dyDescent="0.3">
      <c r="C28">
        <v>117.8</v>
      </c>
      <c r="E28">
        <v>117.1</v>
      </c>
      <c r="G28">
        <v>113.3</v>
      </c>
      <c r="I28">
        <v>111.2</v>
      </c>
      <c r="K28">
        <v>105.2</v>
      </c>
      <c r="M28">
        <v>110.8</v>
      </c>
      <c r="O28">
        <v>119.5</v>
      </c>
      <c r="Q28">
        <v>108.3</v>
      </c>
      <c r="S28">
        <v>96.3</v>
      </c>
      <c r="U28">
        <v>108.7</v>
      </c>
      <c r="W28">
        <v>111.4</v>
      </c>
      <c r="Y28">
        <v>114.6</v>
      </c>
      <c r="AA28">
        <v>116</v>
      </c>
      <c r="AC28">
        <v>112.5</v>
      </c>
      <c r="AE28">
        <v>111.4</v>
      </c>
      <c r="AG28">
        <v>110.9</v>
      </c>
      <c r="AI28">
        <v>112.8</v>
      </c>
      <c r="AK28">
        <v>119</v>
      </c>
      <c r="AM28">
        <v>111</v>
      </c>
      <c r="AO28">
        <v>111.7</v>
      </c>
      <c r="AQ28">
        <v>108.6</v>
      </c>
      <c r="AS28">
        <v>108.9</v>
      </c>
      <c r="AU28">
        <v>107.7</v>
      </c>
      <c r="AW28">
        <v>110.6</v>
      </c>
      <c r="AY28">
        <v>107.9</v>
      </c>
      <c r="BA28">
        <v>109.6</v>
      </c>
      <c r="BC28">
        <v>112.9</v>
      </c>
    </row>
    <row r="29" spans="1:55" x14ac:dyDescent="0.3">
      <c r="C29">
        <v>118.1</v>
      </c>
      <c r="E29">
        <v>117.2</v>
      </c>
      <c r="G29">
        <v>113.5</v>
      </c>
      <c r="I29">
        <v>111.7</v>
      </c>
      <c r="K29">
        <v>105.3</v>
      </c>
      <c r="M29">
        <v>110.9</v>
      </c>
      <c r="O29">
        <v>119.7</v>
      </c>
      <c r="Q29">
        <v>108.7</v>
      </c>
      <c r="S29">
        <v>96.7</v>
      </c>
      <c r="U29">
        <v>109</v>
      </c>
      <c r="W29">
        <v>111.8</v>
      </c>
      <c r="Y29">
        <v>114.9</v>
      </c>
      <c r="AA29">
        <v>116.1</v>
      </c>
      <c r="AC29">
        <v>112.8</v>
      </c>
      <c r="AE29">
        <v>112.2</v>
      </c>
      <c r="AG29">
        <v>111.2</v>
      </c>
      <c r="AI29">
        <v>113</v>
      </c>
      <c r="AK29">
        <v>119.2</v>
      </c>
      <c r="AM29">
        <v>111.1</v>
      </c>
      <c r="AO29">
        <v>111.9</v>
      </c>
      <c r="AQ29">
        <v>108.9</v>
      </c>
      <c r="AS29">
        <v>109.1</v>
      </c>
      <c r="AU29">
        <v>108</v>
      </c>
      <c r="AW29">
        <v>110.8</v>
      </c>
      <c r="AY29">
        <v>108</v>
      </c>
      <c r="BA29">
        <v>109.7</v>
      </c>
      <c r="BC29">
        <v>113.1</v>
      </c>
    </row>
    <row r="30" spans="1:55" x14ac:dyDescent="0.3">
      <c r="C30">
        <v>118.3</v>
      </c>
      <c r="E30">
        <v>117.7</v>
      </c>
      <c r="G30">
        <v>114</v>
      </c>
      <c r="I30">
        <v>112</v>
      </c>
      <c r="K30">
        <v>105.5</v>
      </c>
      <c r="M30">
        <v>111.7</v>
      </c>
      <c r="O30">
        <v>119.8</v>
      </c>
      <c r="Q30">
        <v>108.9</v>
      </c>
      <c r="S30">
        <v>96.9</v>
      </c>
      <c r="U30">
        <v>109.1</v>
      </c>
      <c r="W30">
        <v>112.1</v>
      </c>
      <c r="Y30">
        <v>115.4</v>
      </c>
      <c r="AA30">
        <v>116.2</v>
      </c>
      <c r="AC30">
        <v>112.9</v>
      </c>
      <c r="AE30">
        <v>112.5</v>
      </c>
      <c r="AG30">
        <v>111.3</v>
      </c>
      <c r="AI30">
        <v>113.4</v>
      </c>
      <c r="AK30">
        <v>119.6</v>
      </c>
      <c r="AM30">
        <v>111.2</v>
      </c>
      <c r="AO30">
        <v>112.1</v>
      </c>
      <c r="AQ30">
        <v>109</v>
      </c>
      <c r="AS30">
        <v>109.3</v>
      </c>
      <c r="AU30">
        <v>108.1</v>
      </c>
      <c r="AW30">
        <v>111</v>
      </c>
      <c r="AY30">
        <v>108.1</v>
      </c>
      <c r="BA30">
        <v>109.8</v>
      </c>
      <c r="BC30">
        <v>113.2</v>
      </c>
    </row>
    <row r="31" spans="1:55" x14ac:dyDescent="0.3">
      <c r="C31">
        <v>118.4</v>
      </c>
      <c r="E31">
        <v>118.1</v>
      </c>
      <c r="G31">
        <v>114.2</v>
      </c>
      <c r="I31">
        <v>112.5</v>
      </c>
      <c r="K31">
        <v>105.7</v>
      </c>
      <c r="M31">
        <v>112.1</v>
      </c>
      <c r="O31">
        <v>120.2</v>
      </c>
      <c r="Q31">
        <v>109.1</v>
      </c>
      <c r="S31">
        <v>97</v>
      </c>
      <c r="U31">
        <v>109.4</v>
      </c>
      <c r="W31">
        <v>112.2</v>
      </c>
      <c r="Y31">
        <v>116</v>
      </c>
      <c r="AA31">
        <v>116.6</v>
      </c>
      <c r="AC31">
        <v>113.1</v>
      </c>
      <c r="AE31">
        <v>112.7</v>
      </c>
      <c r="AG31">
        <v>111.4</v>
      </c>
      <c r="AI31">
        <v>113.7</v>
      </c>
      <c r="AK31">
        <v>119.9</v>
      </c>
      <c r="AM31">
        <v>111.6</v>
      </c>
      <c r="AO31">
        <v>112.3</v>
      </c>
      <c r="AQ31">
        <v>109.3</v>
      </c>
      <c r="AS31">
        <v>109.4</v>
      </c>
      <c r="AU31">
        <v>108.3</v>
      </c>
      <c r="AW31">
        <v>111.2</v>
      </c>
      <c r="AY31">
        <v>108.2</v>
      </c>
      <c r="BA31">
        <v>110</v>
      </c>
      <c r="BC31">
        <v>113.3</v>
      </c>
    </row>
    <row r="32" spans="1:55" x14ac:dyDescent="0.3">
      <c r="C32">
        <v>118.6</v>
      </c>
      <c r="E32">
        <v>118.8</v>
      </c>
      <c r="G32">
        <v>114.4</v>
      </c>
      <c r="I32">
        <v>112.8</v>
      </c>
      <c r="K32">
        <v>105.9</v>
      </c>
      <c r="M32">
        <v>112.4</v>
      </c>
      <c r="O32">
        <v>120.5</v>
      </c>
      <c r="Q32">
        <v>109.3</v>
      </c>
      <c r="S32">
        <v>97.4</v>
      </c>
      <c r="U32">
        <v>109.6</v>
      </c>
      <c r="W32">
        <v>112.3</v>
      </c>
      <c r="Y32">
        <v>116.5</v>
      </c>
      <c r="AA32">
        <v>117.2</v>
      </c>
      <c r="AC32">
        <v>113.5</v>
      </c>
      <c r="AE32">
        <v>113.2</v>
      </c>
      <c r="AG32">
        <v>111.7</v>
      </c>
      <c r="AI32">
        <v>113.8</v>
      </c>
      <c r="AK32">
        <v>120.9</v>
      </c>
      <c r="AM32">
        <v>111.8</v>
      </c>
      <c r="AO32">
        <v>112.6</v>
      </c>
      <c r="AQ32">
        <v>109.7</v>
      </c>
      <c r="AS32">
        <v>109.5</v>
      </c>
      <c r="AU32">
        <v>108.5</v>
      </c>
      <c r="AW32">
        <v>111.3</v>
      </c>
      <c r="AY32">
        <v>108.3</v>
      </c>
      <c r="BA32">
        <v>110.1</v>
      </c>
      <c r="BC32">
        <v>113.6</v>
      </c>
    </row>
    <row r="33" spans="3:55" x14ac:dyDescent="0.3">
      <c r="C33">
        <v>118.9</v>
      </c>
      <c r="E33">
        <v>118.9</v>
      </c>
      <c r="G33">
        <v>114.5</v>
      </c>
      <c r="I33">
        <v>113.4</v>
      </c>
      <c r="K33">
        <v>106</v>
      </c>
      <c r="M33">
        <v>113.2</v>
      </c>
      <c r="O33">
        <v>120.7</v>
      </c>
      <c r="Q33">
        <v>109.5</v>
      </c>
      <c r="S33">
        <v>97.6</v>
      </c>
      <c r="U33">
        <v>109.8</v>
      </c>
      <c r="W33">
        <v>112.4</v>
      </c>
      <c r="Y33">
        <v>116.8</v>
      </c>
      <c r="AA33">
        <v>117.5</v>
      </c>
      <c r="AC33">
        <v>113.6</v>
      </c>
      <c r="AE33">
        <v>113.5</v>
      </c>
      <c r="AG33">
        <v>111.9</v>
      </c>
      <c r="AI33">
        <v>114.3</v>
      </c>
      <c r="AK33">
        <v>121.6</v>
      </c>
      <c r="AM33">
        <v>111.9</v>
      </c>
      <c r="AO33">
        <v>112.8</v>
      </c>
      <c r="AQ33">
        <v>110.1</v>
      </c>
      <c r="AS33">
        <v>109.6</v>
      </c>
      <c r="AU33">
        <v>108.6</v>
      </c>
      <c r="AW33">
        <v>111.4</v>
      </c>
      <c r="AY33">
        <v>108.7</v>
      </c>
      <c r="BA33">
        <v>110.5</v>
      </c>
      <c r="BC33">
        <v>113.7</v>
      </c>
    </row>
    <row r="34" spans="3:55" x14ac:dyDescent="0.3">
      <c r="C34">
        <v>119.1</v>
      </c>
      <c r="E34">
        <v>119.1</v>
      </c>
      <c r="G34">
        <v>115</v>
      </c>
      <c r="I34">
        <v>113.6</v>
      </c>
      <c r="K34">
        <v>106.1</v>
      </c>
      <c r="M34">
        <v>113.3</v>
      </c>
      <c r="O34">
        <v>121.1</v>
      </c>
      <c r="Q34">
        <v>109.6</v>
      </c>
      <c r="S34">
        <v>97.7</v>
      </c>
      <c r="U34">
        <v>110.2</v>
      </c>
      <c r="W34">
        <v>112.6</v>
      </c>
      <c r="Y34">
        <v>117.1</v>
      </c>
      <c r="AA34">
        <v>117.6</v>
      </c>
      <c r="AC34">
        <v>114</v>
      </c>
      <c r="AE34">
        <v>113.6</v>
      </c>
      <c r="AG34">
        <v>112.1</v>
      </c>
      <c r="AI34">
        <v>114.4</v>
      </c>
      <c r="AK34">
        <v>122.4</v>
      </c>
      <c r="AM34">
        <v>112</v>
      </c>
      <c r="AO34">
        <v>112.9</v>
      </c>
      <c r="AQ34">
        <v>110.3</v>
      </c>
      <c r="AS34">
        <v>109.7</v>
      </c>
      <c r="AU34">
        <v>108.7</v>
      </c>
      <c r="AW34">
        <v>111.5</v>
      </c>
      <c r="AY34">
        <v>108.8</v>
      </c>
      <c r="BA34">
        <v>110.6</v>
      </c>
      <c r="BC34">
        <v>114</v>
      </c>
    </row>
    <row r="35" spans="3:55" x14ac:dyDescent="0.3">
      <c r="C35">
        <v>119.4</v>
      </c>
      <c r="E35">
        <v>119.2</v>
      </c>
      <c r="G35">
        <v>115.4</v>
      </c>
      <c r="I35">
        <v>113.8</v>
      </c>
      <c r="K35">
        <v>106.2</v>
      </c>
      <c r="M35">
        <v>113.5</v>
      </c>
      <c r="O35">
        <v>121.2</v>
      </c>
      <c r="Q35">
        <v>109.8</v>
      </c>
      <c r="S35">
        <v>97.8</v>
      </c>
      <c r="U35">
        <v>110.3</v>
      </c>
      <c r="W35">
        <v>112.7</v>
      </c>
      <c r="Y35">
        <v>117.3</v>
      </c>
      <c r="AA35">
        <v>117.8</v>
      </c>
      <c r="AC35">
        <v>114.1</v>
      </c>
      <c r="AE35">
        <v>114.2</v>
      </c>
      <c r="AG35">
        <v>112.3</v>
      </c>
      <c r="AI35">
        <v>114.7</v>
      </c>
      <c r="AK35">
        <v>122.9</v>
      </c>
      <c r="AM35">
        <v>112.2</v>
      </c>
      <c r="AO35">
        <v>113</v>
      </c>
      <c r="AQ35">
        <v>110.4</v>
      </c>
      <c r="AS35">
        <v>109.8</v>
      </c>
      <c r="AU35">
        <v>108.9</v>
      </c>
      <c r="AW35">
        <v>111.6</v>
      </c>
      <c r="AY35">
        <v>108.9</v>
      </c>
      <c r="BA35">
        <v>110.9</v>
      </c>
      <c r="BC35">
        <v>114.2</v>
      </c>
    </row>
    <row r="36" spans="3:55" x14ac:dyDescent="0.3">
      <c r="C36">
        <v>119.6</v>
      </c>
      <c r="E36">
        <v>119.3</v>
      </c>
      <c r="G36">
        <v>115.6</v>
      </c>
      <c r="I36">
        <v>114.1</v>
      </c>
      <c r="K36">
        <v>106.3</v>
      </c>
      <c r="M36">
        <v>113.9</v>
      </c>
      <c r="O36">
        <v>121.5</v>
      </c>
      <c r="Q36">
        <v>110.2</v>
      </c>
      <c r="S36">
        <v>98.3</v>
      </c>
      <c r="U36">
        <v>110.4</v>
      </c>
      <c r="W36">
        <v>112.9</v>
      </c>
      <c r="Y36">
        <v>117.4</v>
      </c>
      <c r="AA36">
        <v>118.2</v>
      </c>
      <c r="AC36">
        <v>114.2</v>
      </c>
      <c r="AE36">
        <v>114.6</v>
      </c>
      <c r="AG36">
        <v>112.5</v>
      </c>
      <c r="AI36">
        <v>114.8</v>
      </c>
      <c r="AK36">
        <v>123.4</v>
      </c>
      <c r="AM36">
        <v>112.4</v>
      </c>
      <c r="AO36">
        <v>113.2</v>
      </c>
      <c r="AQ36">
        <v>110.6</v>
      </c>
      <c r="AS36">
        <v>109.9</v>
      </c>
      <c r="AU36">
        <v>109</v>
      </c>
      <c r="AW36">
        <v>111.8</v>
      </c>
      <c r="AY36">
        <v>109</v>
      </c>
      <c r="BA36">
        <v>111</v>
      </c>
      <c r="BC36">
        <v>114.5</v>
      </c>
    </row>
    <row r="37" spans="3:55" x14ac:dyDescent="0.3">
      <c r="C37">
        <v>119.8</v>
      </c>
      <c r="E37">
        <v>119.9</v>
      </c>
      <c r="G37">
        <v>115.8</v>
      </c>
      <c r="I37">
        <v>114.4</v>
      </c>
      <c r="K37">
        <v>106.4</v>
      </c>
      <c r="M37">
        <v>114.1</v>
      </c>
      <c r="O37">
        <v>122.2</v>
      </c>
      <c r="Q37">
        <v>111</v>
      </c>
      <c r="S37">
        <v>98.6</v>
      </c>
      <c r="U37">
        <v>110.5</v>
      </c>
      <c r="W37">
        <v>113</v>
      </c>
      <c r="Y37">
        <v>117.8</v>
      </c>
      <c r="AA37">
        <v>118.3</v>
      </c>
      <c r="AC37">
        <v>114.5</v>
      </c>
      <c r="AE37">
        <v>114.8</v>
      </c>
      <c r="AG37">
        <v>112.7</v>
      </c>
      <c r="AI37">
        <v>115.2</v>
      </c>
      <c r="AK37">
        <v>124.4</v>
      </c>
      <c r="AM37">
        <v>112.5</v>
      </c>
      <c r="AO37">
        <v>113.4</v>
      </c>
      <c r="AQ37">
        <v>110.7</v>
      </c>
      <c r="AS37">
        <v>110</v>
      </c>
      <c r="AU37">
        <v>109.2</v>
      </c>
      <c r="AW37">
        <v>112</v>
      </c>
      <c r="AY37">
        <v>109.1</v>
      </c>
      <c r="BA37">
        <v>111.3</v>
      </c>
      <c r="BC37">
        <v>114.6</v>
      </c>
    </row>
    <row r="38" spans="3:55" x14ac:dyDescent="0.3">
      <c r="C38">
        <v>120.1</v>
      </c>
      <c r="E38">
        <v>120.1</v>
      </c>
      <c r="G38">
        <v>115.9</v>
      </c>
      <c r="I38">
        <v>115</v>
      </c>
      <c r="K38">
        <v>106.6</v>
      </c>
      <c r="M38">
        <v>115.4</v>
      </c>
      <c r="O38">
        <v>123.4</v>
      </c>
      <c r="Q38">
        <v>111.5</v>
      </c>
      <c r="S38">
        <v>98.7</v>
      </c>
      <c r="U38">
        <v>110.7</v>
      </c>
      <c r="W38">
        <v>113.2</v>
      </c>
      <c r="Y38">
        <v>118.1</v>
      </c>
      <c r="AA38">
        <v>118.4</v>
      </c>
      <c r="AC38">
        <v>114.6</v>
      </c>
      <c r="AE38">
        <v>115.2</v>
      </c>
      <c r="AG38">
        <v>112.9</v>
      </c>
      <c r="AI38">
        <v>115.4</v>
      </c>
      <c r="AK38">
        <v>124.9</v>
      </c>
      <c r="AM38">
        <v>112.6</v>
      </c>
      <c r="AO38">
        <v>113.6</v>
      </c>
      <c r="AQ38">
        <v>110.8</v>
      </c>
      <c r="AS38">
        <v>110.1</v>
      </c>
      <c r="AU38">
        <v>109.6</v>
      </c>
      <c r="AW38">
        <v>112.4</v>
      </c>
      <c r="AY38">
        <v>109.2</v>
      </c>
      <c r="BA38">
        <v>111.4</v>
      </c>
      <c r="BC38">
        <v>114.7</v>
      </c>
    </row>
    <row r="39" spans="3:55" x14ac:dyDescent="0.3">
      <c r="C39">
        <v>120.2</v>
      </c>
      <c r="E39">
        <v>120.2</v>
      </c>
      <c r="G39">
        <v>116.1</v>
      </c>
      <c r="I39">
        <v>115.1</v>
      </c>
      <c r="K39">
        <v>106.7</v>
      </c>
      <c r="M39">
        <v>115.5</v>
      </c>
      <c r="O39">
        <v>123.7</v>
      </c>
      <c r="Q39">
        <v>111.9</v>
      </c>
      <c r="S39">
        <v>98.8</v>
      </c>
      <c r="U39">
        <v>111</v>
      </c>
      <c r="W39">
        <v>113.5</v>
      </c>
      <c r="Y39">
        <v>118.3</v>
      </c>
      <c r="AA39">
        <v>118.7</v>
      </c>
      <c r="AC39">
        <v>114.7</v>
      </c>
      <c r="AE39">
        <v>115.3</v>
      </c>
      <c r="AG39">
        <v>113.1</v>
      </c>
      <c r="AI39">
        <v>115.5</v>
      </c>
      <c r="AK39">
        <v>125.5</v>
      </c>
      <c r="AM39">
        <v>112.8</v>
      </c>
      <c r="AO39">
        <v>113.7</v>
      </c>
      <c r="AQ39">
        <v>110.9</v>
      </c>
      <c r="AS39">
        <v>110.4</v>
      </c>
      <c r="AU39">
        <v>109.7</v>
      </c>
      <c r="AW39">
        <v>112.5</v>
      </c>
      <c r="AY39">
        <v>109.3</v>
      </c>
      <c r="BA39">
        <v>111.5</v>
      </c>
      <c r="BC39">
        <v>114.8</v>
      </c>
    </row>
    <row r="40" spans="3:55" x14ac:dyDescent="0.3">
      <c r="C40">
        <v>120.3</v>
      </c>
      <c r="E40">
        <v>120.4</v>
      </c>
      <c r="G40">
        <v>116.2</v>
      </c>
      <c r="I40">
        <v>115.2</v>
      </c>
      <c r="K40">
        <v>106.8</v>
      </c>
      <c r="M40">
        <v>116.6</v>
      </c>
      <c r="O40">
        <v>123.8</v>
      </c>
      <c r="Q40">
        <v>112.2</v>
      </c>
      <c r="S40">
        <v>98.9</v>
      </c>
      <c r="U40">
        <v>111.2</v>
      </c>
      <c r="W40">
        <v>113.7</v>
      </c>
      <c r="Y40">
        <v>118.7</v>
      </c>
      <c r="AA40">
        <v>118.9</v>
      </c>
      <c r="AC40">
        <v>115</v>
      </c>
      <c r="AE40">
        <v>115.8</v>
      </c>
      <c r="AG40">
        <v>113.2</v>
      </c>
      <c r="AI40">
        <v>115.7</v>
      </c>
      <c r="AK40">
        <v>125.6</v>
      </c>
      <c r="AM40">
        <v>113</v>
      </c>
      <c r="AO40">
        <v>114.1</v>
      </c>
      <c r="AQ40">
        <v>111</v>
      </c>
      <c r="AS40">
        <v>110.5</v>
      </c>
      <c r="AU40">
        <v>109.8</v>
      </c>
      <c r="AW40">
        <v>112.7</v>
      </c>
      <c r="AY40">
        <v>109.4</v>
      </c>
      <c r="BA40">
        <v>111.7</v>
      </c>
      <c r="BC40">
        <v>115</v>
      </c>
    </row>
    <row r="41" spans="3:55" x14ac:dyDescent="0.3">
      <c r="C41">
        <v>120.5</v>
      </c>
      <c r="E41">
        <v>121.4</v>
      </c>
      <c r="G41">
        <v>116.4</v>
      </c>
      <c r="I41">
        <v>116.1</v>
      </c>
      <c r="K41">
        <v>106.9</v>
      </c>
      <c r="M41">
        <v>117.7</v>
      </c>
      <c r="O41">
        <v>123.9</v>
      </c>
      <c r="Q41">
        <v>112.3</v>
      </c>
      <c r="S41">
        <v>99</v>
      </c>
      <c r="U41">
        <v>111.4</v>
      </c>
      <c r="W41">
        <v>113.8</v>
      </c>
      <c r="Y41">
        <v>118.8</v>
      </c>
      <c r="AA41">
        <v>119.2</v>
      </c>
      <c r="AC41">
        <v>115.2</v>
      </c>
      <c r="AE41">
        <v>116.3</v>
      </c>
      <c r="AG41">
        <v>113.3</v>
      </c>
      <c r="AI41">
        <v>115.9</v>
      </c>
      <c r="AK41">
        <v>126</v>
      </c>
      <c r="AM41">
        <v>113.2</v>
      </c>
      <c r="AO41">
        <v>114.3</v>
      </c>
      <c r="AQ41">
        <v>111.2</v>
      </c>
      <c r="AS41">
        <v>110.7</v>
      </c>
      <c r="AU41">
        <v>109.9</v>
      </c>
      <c r="AW41">
        <v>112.9</v>
      </c>
      <c r="AY41">
        <v>109.5</v>
      </c>
      <c r="BA41">
        <v>111.8</v>
      </c>
      <c r="BC41">
        <v>115.1</v>
      </c>
    </row>
    <row r="42" spans="3:55" x14ac:dyDescent="0.3">
      <c r="C42">
        <v>120.7</v>
      </c>
      <c r="E42">
        <v>121.6</v>
      </c>
      <c r="G42">
        <v>116.5</v>
      </c>
      <c r="I42">
        <v>116.2</v>
      </c>
      <c r="K42">
        <v>107</v>
      </c>
      <c r="M42">
        <v>118.6</v>
      </c>
      <c r="O42">
        <v>125</v>
      </c>
      <c r="Q42">
        <v>112.4</v>
      </c>
      <c r="S42">
        <v>99.1</v>
      </c>
      <c r="U42">
        <v>111.6</v>
      </c>
      <c r="W42">
        <v>114.2</v>
      </c>
      <c r="Y42">
        <v>119</v>
      </c>
      <c r="AA42">
        <v>119.5</v>
      </c>
      <c r="AC42">
        <v>115.4</v>
      </c>
      <c r="AE42">
        <v>116.4</v>
      </c>
      <c r="AG42">
        <v>113.6</v>
      </c>
      <c r="AI42">
        <v>116.2</v>
      </c>
      <c r="AK42">
        <v>126.4</v>
      </c>
      <c r="AM42">
        <v>113.4</v>
      </c>
      <c r="AO42">
        <v>114.6</v>
      </c>
      <c r="AQ42">
        <v>111.4</v>
      </c>
      <c r="AS42">
        <v>110.8</v>
      </c>
      <c r="AU42">
        <v>110.1</v>
      </c>
      <c r="AW42">
        <v>113</v>
      </c>
      <c r="AY42">
        <v>109.6</v>
      </c>
      <c r="BA42">
        <v>112.2</v>
      </c>
      <c r="BC42">
        <v>115.4</v>
      </c>
    </row>
    <row r="43" spans="3:55" x14ac:dyDescent="0.3">
      <c r="C43">
        <v>120.9</v>
      </c>
      <c r="E43">
        <v>121.7</v>
      </c>
      <c r="G43">
        <v>116.8</v>
      </c>
      <c r="I43">
        <v>117</v>
      </c>
      <c r="K43">
        <v>107.3</v>
      </c>
      <c r="M43">
        <v>118.7</v>
      </c>
      <c r="O43">
        <v>125.3</v>
      </c>
      <c r="Q43">
        <v>112.6</v>
      </c>
      <c r="S43">
        <v>99.2</v>
      </c>
      <c r="U43">
        <v>111.8</v>
      </c>
      <c r="W43">
        <v>114.4</v>
      </c>
      <c r="Y43">
        <v>119.2</v>
      </c>
      <c r="AA43">
        <v>119.6</v>
      </c>
      <c r="AC43">
        <v>115.7</v>
      </c>
      <c r="AE43">
        <v>116.5</v>
      </c>
      <c r="AG43">
        <v>113.7</v>
      </c>
      <c r="AI43">
        <v>116.4</v>
      </c>
      <c r="AK43">
        <v>127.3</v>
      </c>
      <c r="AM43">
        <v>113.9</v>
      </c>
      <c r="AO43">
        <v>114.9</v>
      </c>
      <c r="AQ43">
        <v>111.5</v>
      </c>
      <c r="AS43">
        <v>110.9</v>
      </c>
      <c r="AU43">
        <v>110.2</v>
      </c>
      <c r="AW43">
        <v>113.1</v>
      </c>
      <c r="AY43">
        <v>109.7</v>
      </c>
      <c r="BA43">
        <v>112.3</v>
      </c>
      <c r="BC43">
        <v>115.5</v>
      </c>
    </row>
    <row r="44" spans="3:55" x14ac:dyDescent="0.3">
      <c r="C44">
        <v>121.1</v>
      </c>
      <c r="E44">
        <v>122</v>
      </c>
      <c r="G44">
        <v>116.9</v>
      </c>
      <c r="I44">
        <v>118</v>
      </c>
      <c r="K44">
        <v>107.4</v>
      </c>
      <c r="M44">
        <v>119</v>
      </c>
      <c r="O44">
        <v>125.6</v>
      </c>
      <c r="Q44">
        <v>112.8</v>
      </c>
      <c r="S44">
        <v>99.5</v>
      </c>
      <c r="U44">
        <v>111.9</v>
      </c>
      <c r="W44">
        <v>114.8</v>
      </c>
      <c r="Y44">
        <v>119.3</v>
      </c>
      <c r="AA44">
        <v>119.8</v>
      </c>
      <c r="AC44">
        <v>116</v>
      </c>
      <c r="AE44">
        <v>116.8</v>
      </c>
      <c r="AG44">
        <v>114</v>
      </c>
      <c r="AI44">
        <v>116.7</v>
      </c>
      <c r="AK44">
        <v>127.9</v>
      </c>
      <c r="AM44">
        <v>114</v>
      </c>
      <c r="AO44">
        <v>115.2</v>
      </c>
      <c r="AQ44">
        <v>111.8</v>
      </c>
      <c r="AS44">
        <v>111</v>
      </c>
      <c r="AU44">
        <v>110.3</v>
      </c>
      <c r="AW44">
        <v>114.3</v>
      </c>
      <c r="AY44">
        <v>109.8</v>
      </c>
      <c r="BA44">
        <v>113.1</v>
      </c>
      <c r="BC44">
        <v>115.6</v>
      </c>
    </row>
    <row r="45" spans="3:55" x14ac:dyDescent="0.3">
      <c r="C45">
        <v>121.2</v>
      </c>
      <c r="E45">
        <v>122.4</v>
      </c>
      <c r="G45">
        <v>117.2</v>
      </c>
      <c r="I45">
        <v>118.4</v>
      </c>
      <c r="K45">
        <v>107.6</v>
      </c>
      <c r="M45">
        <v>119.6</v>
      </c>
      <c r="O45">
        <v>126.7</v>
      </c>
      <c r="Q45">
        <v>113.1</v>
      </c>
      <c r="S45">
        <v>99.6</v>
      </c>
      <c r="U45">
        <v>112.3</v>
      </c>
      <c r="W45">
        <v>114.9</v>
      </c>
      <c r="Y45">
        <v>119.8</v>
      </c>
      <c r="AA45">
        <v>120</v>
      </c>
      <c r="AC45">
        <v>116.2</v>
      </c>
      <c r="AE45">
        <v>117.1</v>
      </c>
      <c r="AG45">
        <v>114.1</v>
      </c>
      <c r="AI45">
        <v>117</v>
      </c>
      <c r="AK45">
        <v>128.5</v>
      </c>
      <c r="AM45">
        <v>114.3</v>
      </c>
      <c r="AO45">
        <v>115.3</v>
      </c>
      <c r="AQ45">
        <v>112.1</v>
      </c>
      <c r="AS45">
        <v>111.1</v>
      </c>
      <c r="AU45">
        <v>110.5</v>
      </c>
      <c r="AW45">
        <v>114.8</v>
      </c>
      <c r="AY45">
        <v>109.9</v>
      </c>
      <c r="BA45">
        <v>113.2</v>
      </c>
      <c r="BC45">
        <v>115.8</v>
      </c>
    </row>
    <row r="46" spans="3:55" x14ac:dyDescent="0.3">
      <c r="C46">
        <v>121.5</v>
      </c>
      <c r="E46">
        <v>122.5</v>
      </c>
      <c r="G46">
        <v>117.3</v>
      </c>
      <c r="I46">
        <v>119.1</v>
      </c>
      <c r="K46">
        <v>107.7</v>
      </c>
      <c r="M46">
        <v>119.9</v>
      </c>
      <c r="O46">
        <v>127</v>
      </c>
      <c r="Q46">
        <v>113.2</v>
      </c>
      <c r="S46">
        <v>99.8</v>
      </c>
      <c r="U46">
        <v>112.6</v>
      </c>
      <c r="W46">
        <v>115.2</v>
      </c>
      <c r="Y46">
        <v>119.9</v>
      </c>
      <c r="AA46">
        <v>120.2</v>
      </c>
      <c r="AC46">
        <v>116.3</v>
      </c>
      <c r="AE46">
        <v>117.4</v>
      </c>
      <c r="AG46">
        <v>114.5</v>
      </c>
      <c r="AI46">
        <v>117.2</v>
      </c>
      <c r="AK46">
        <v>128.69999999999999</v>
      </c>
      <c r="AM46">
        <v>114.4</v>
      </c>
      <c r="AO46">
        <v>115.4</v>
      </c>
      <c r="AQ46">
        <v>112.2</v>
      </c>
      <c r="AS46">
        <v>111.2</v>
      </c>
      <c r="AU46">
        <v>110.6</v>
      </c>
      <c r="AW46">
        <v>115.1</v>
      </c>
      <c r="AY46">
        <v>110</v>
      </c>
      <c r="BA46">
        <v>113.3</v>
      </c>
      <c r="BC46">
        <v>116</v>
      </c>
    </row>
    <row r="47" spans="3:55" x14ac:dyDescent="0.3">
      <c r="C47">
        <v>121.7</v>
      </c>
      <c r="E47">
        <v>122.6</v>
      </c>
      <c r="G47">
        <v>117.7</v>
      </c>
      <c r="I47">
        <v>119.3</v>
      </c>
      <c r="K47">
        <v>107.8</v>
      </c>
      <c r="M47">
        <v>120.8</v>
      </c>
      <c r="O47">
        <v>127.1</v>
      </c>
      <c r="Q47">
        <v>113.5</v>
      </c>
      <c r="S47">
        <v>100</v>
      </c>
      <c r="U47">
        <v>112.7</v>
      </c>
      <c r="W47">
        <v>115.6</v>
      </c>
      <c r="Y47">
        <v>120.1</v>
      </c>
      <c r="AA47">
        <v>120.4</v>
      </c>
      <c r="AC47">
        <v>116.7</v>
      </c>
      <c r="AE47">
        <v>117.5</v>
      </c>
      <c r="AG47">
        <v>114.6</v>
      </c>
      <c r="AI47">
        <v>117.4</v>
      </c>
      <c r="AK47">
        <v>129.1</v>
      </c>
      <c r="AM47">
        <v>114.6</v>
      </c>
      <c r="AO47">
        <v>115.5</v>
      </c>
      <c r="AQ47">
        <v>112.3</v>
      </c>
      <c r="AS47">
        <v>111.3</v>
      </c>
      <c r="AU47">
        <v>110.9</v>
      </c>
      <c r="AW47">
        <v>115.5</v>
      </c>
      <c r="AY47">
        <v>110.1</v>
      </c>
      <c r="BA47">
        <v>113.4</v>
      </c>
      <c r="BC47">
        <v>116.3</v>
      </c>
    </row>
    <row r="48" spans="3:55" x14ac:dyDescent="0.3">
      <c r="C48">
        <v>121.8</v>
      </c>
      <c r="E48">
        <v>122.8</v>
      </c>
      <c r="G48">
        <v>117.8</v>
      </c>
      <c r="I48">
        <v>119.7</v>
      </c>
      <c r="K48">
        <v>107.9</v>
      </c>
      <c r="M48">
        <v>121.3</v>
      </c>
      <c r="O48">
        <v>127.5</v>
      </c>
      <c r="Q48">
        <v>113.6</v>
      </c>
      <c r="S48">
        <v>100.2</v>
      </c>
      <c r="U48">
        <v>113.3</v>
      </c>
      <c r="W48">
        <v>115.8</v>
      </c>
      <c r="Y48">
        <v>120.4</v>
      </c>
      <c r="AA48">
        <v>120.8</v>
      </c>
      <c r="AC48">
        <v>116.8</v>
      </c>
      <c r="AE48">
        <v>118</v>
      </c>
      <c r="AG48">
        <v>114.9</v>
      </c>
      <c r="AI48">
        <v>117.6</v>
      </c>
      <c r="AK48">
        <v>129.6</v>
      </c>
      <c r="AM48">
        <v>114.7</v>
      </c>
      <c r="AO48">
        <v>115.6</v>
      </c>
      <c r="AQ48">
        <v>112.6</v>
      </c>
      <c r="AS48">
        <v>111.4</v>
      </c>
      <c r="AU48">
        <v>111.2</v>
      </c>
      <c r="AW48">
        <v>116.2</v>
      </c>
      <c r="AY48">
        <v>110.2</v>
      </c>
      <c r="BA48">
        <v>113.5</v>
      </c>
      <c r="BC48">
        <v>116.4</v>
      </c>
    </row>
    <row r="49" spans="3:55" x14ac:dyDescent="0.3">
      <c r="C49">
        <v>121.9</v>
      </c>
      <c r="E49">
        <v>123.1</v>
      </c>
      <c r="G49">
        <v>118</v>
      </c>
      <c r="I49">
        <v>120.4</v>
      </c>
      <c r="K49">
        <v>108</v>
      </c>
      <c r="M49">
        <v>121.6</v>
      </c>
      <c r="O49">
        <v>127.6</v>
      </c>
      <c r="Q49">
        <v>114</v>
      </c>
      <c r="S49">
        <v>100.3</v>
      </c>
      <c r="U49">
        <v>113.4</v>
      </c>
      <c r="W49">
        <v>116.1</v>
      </c>
      <c r="Y49">
        <v>120.5</v>
      </c>
      <c r="AA49">
        <v>122</v>
      </c>
      <c r="AC49">
        <v>117.3</v>
      </c>
      <c r="AE49">
        <v>118.1</v>
      </c>
      <c r="AG49">
        <v>115.2</v>
      </c>
      <c r="AI49">
        <v>117.8</v>
      </c>
      <c r="AK49">
        <v>130.5</v>
      </c>
      <c r="AM49">
        <v>114.8</v>
      </c>
      <c r="AO49">
        <v>115.8</v>
      </c>
      <c r="AQ49">
        <v>112.7</v>
      </c>
      <c r="AS49">
        <v>111.5</v>
      </c>
      <c r="AU49">
        <v>111.4</v>
      </c>
      <c r="AW49">
        <v>116.6</v>
      </c>
      <c r="AY49">
        <v>110.4</v>
      </c>
      <c r="BA49">
        <v>113.6</v>
      </c>
      <c r="BC49">
        <v>116.7</v>
      </c>
    </row>
    <row r="50" spans="3:55" x14ac:dyDescent="0.3">
      <c r="C50">
        <v>122.1</v>
      </c>
      <c r="E50">
        <v>123.2</v>
      </c>
      <c r="G50">
        <v>118.1</v>
      </c>
      <c r="I50">
        <v>120.6</v>
      </c>
      <c r="K50">
        <v>108.4</v>
      </c>
      <c r="M50">
        <v>122.2</v>
      </c>
      <c r="O50">
        <v>128</v>
      </c>
      <c r="Q50">
        <v>114.1</v>
      </c>
      <c r="S50">
        <v>100.4</v>
      </c>
      <c r="U50">
        <v>113.5</v>
      </c>
      <c r="W50">
        <v>116.4</v>
      </c>
      <c r="Y50">
        <v>120.9</v>
      </c>
      <c r="AA50">
        <v>122.5</v>
      </c>
      <c r="AC50">
        <v>117.6</v>
      </c>
      <c r="AE50">
        <v>118.6</v>
      </c>
      <c r="AG50">
        <v>115.4</v>
      </c>
      <c r="AI50">
        <v>117.9</v>
      </c>
      <c r="AK50">
        <v>131.1</v>
      </c>
      <c r="AM50">
        <v>114.9</v>
      </c>
      <c r="AO50">
        <v>115.9</v>
      </c>
      <c r="AQ50">
        <v>112.8</v>
      </c>
      <c r="AS50">
        <v>111.6</v>
      </c>
      <c r="AU50">
        <v>111.5</v>
      </c>
      <c r="AW50">
        <v>116.8</v>
      </c>
      <c r="AY50">
        <v>110.5</v>
      </c>
      <c r="BA50">
        <v>113.7</v>
      </c>
      <c r="BC50">
        <v>117</v>
      </c>
    </row>
    <row r="51" spans="3:55" x14ac:dyDescent="0.3">
      <c r="C51">
        <v>122.3</v>
      </c>
      <c r="E51">
        <v>123.5</v>
      </c>
      <c r="G51">
        <v>118.3</v>
      </c>
      <c r="I51">
        <v>121</v>
      </c>
      <c r="K51">
        <v>108.5</v>
      </c>
      <c r="M51">
        <v>122.3</v>
      </c>
      <c r="O51">
        <v>128.1</v>
      </c>
      <c r="Q51">
        <v>114.5</v>
      </c>
      <c r="S51">
        <v>100.5</v>
      </c>
      <c r="U51">
        <v>114.1</v>
      </c>
      <c r="W51">
        <v>116.5</v>
      </c>
      <c r="Y51">
        <v>121</v>
      </c>
      <c r="AA51">
        <v>122.6</v>
      </c>
      <c r="AC51">
        <v>117.8</v>
      </c>
      <c r="AE51">
        <v>118.7</v>
      </c>
      <c r="AG51">
        <v>115.6</v>
      </c>
      <c r="AI51">
        <v>118.3</v>
      </c>
      <c r="AK51">
        <v>131.4</v>
      </c>
      <c r="AM51">
        <v>115</v>
      </c>
      <c r="AO51">
        <v>116.1</v>
      </c>
      <c r="AQ51">
        <v>113</v>
      </c>
      <c r="AS51">
        <v>111.7</v>
      </c>
      <c r="AU51">
        <v>111.6</v>
      </c>
      <c r="AW51">
        <v>116.9</v>
      </c>
      <c r="AY51">
        <v>110.7</v>
      </c>
      <c r="BA51">
        <v>113.8</v>
      </c>
      <c r="BC51">
        <v>117.4</v>
      </c>
    </row>
    <row r="52" spans="3:55" x14ac:dyDescent="0.3">
      <c r="C52">
        <v>122.4</v>
      </c>
      <c r="E52">
        <v>123.7</v>
      </c>
      <c r="G52">
        <v>118.7</v>
      </c>
      <c r="I52">
        <v>121.6</v>
      </c>
      <c r="K52">
        <v>108.9</v>
      </c>
      <c r="M52">
        <v>123.5</v>
      </c>
      <c r="O52">
        <v>128.19999999999999</v>
      </c>
      <c r="Q52">
        <v>115</v>
      </c>
      <c r="S52">
        <v>100.6</v>
      </c>
      <c r="U52">
        <v>114.3</v>
      </c>
      <c r="W52">
        <v>116.8</v>
      </c>
      <c r="Y52">
        <v>121.2</v>
      </c>
      <c r="AA52">
        <v>122.8</v>
      </c>
      <c r="AC52">
        <v>118</v>
      </c>
      <c r="AE52">
        <v>118.8</v>
      </c>
      <c r="AG52">
        <v>115.8</v>
      </c>
      <c r="AI52">
        <v>118.4</v>
      </c>
      <c r="AK52">
        <v>131.69999999999999</v>
      </c>
      <c r="AM52">
        <v>115.1</v>
      </c>
      <c r="AO52">
        <v>116.4</v>
      </c>
      <c r="AQ52">
        <v>113.2</v>
      </c>
      <c r="AS52">
        <v>111.8</v>
      </c>
      <c r="AU52">
        <v>111.8</v>
      </c>
      <c r="AW52">
        <v>117.2</v>
      </c>
      <c r="AY52">
        <v>110.8</v>
      </c>
      <c r="BA52">
        <v>113.9</v>
      </c>
      <c r="BC52">
        <v>118.4</v>
      </c>
    </row>
    <row r="53" spans="3:55" x14ac:dyDescent="0.3">
      <c r="C53">
        <v>122.5</v>
      </c>
      <c r="E53">
        <v>123.8</v>
      </c>
      <c r="G53">
        <v>118.9</v>
      </c>
      <c r="I53">
        <v>121.9</v>
      </c>
      <c r="K53">
        <v>109</v>
      </c>
      <c r="M53">
        <v>123.7</v>
      </c>
      <c r="O53">
        <v>128.5</v>
      </c>
      <c r="Q53">
        <v>115.2</v>
      </c>
      <c r="S53">
        <v>100.8</v>
      </c>
      <c r="U53">
        <v>114.6</v>
      </c>
      <c r="W53">
        <v>117</v>
      </c>
      <c r="Y53">
        <v>121.7</v>
      </c>
      <c r="AA53">
        <v>122.9</v>
      </c>
      <c r="AC53">
        <v>118.3</v>
      </c>
      <c r="AE53">
        <v>119.2</v>
      </c>
      <c r="AG53">
        <v>116.1</v>
      </c>
      <c r="AI53">
        <v>118.5</v>
      </c>
      <c r="AK53">
        <v>132.1</v>
      </c>
      <c r="AM53">
        <v>115.2</v>
      </c>
      <c r="AO53">
        <v>116.7</v>
      </c>
      <c r="AQ53">
        <v>113.3</v>
      </c>
      <c r="AS53">
        <v>111.9</v>
      </c>
      <c r="AU53">
        <v>112.1</v>
      </c>
      <c r="AW53">
        <v>117.7</v>
      </c>
      <c r="AY53">
        <v>111</v>
      </c>
      <c r="BA53">
        <v>114</v>
      </c>
      <c r="BC53">
        <v>118.5</v>
      </c>
    </row>
    <row r="54" spans="3:55" x14ac:dyDescent="0.3">
      <c r="C54">
        <v>122.6</v>
      </c>
      <c r="E54">
        <v>123.9</v>
      </c>
      <c r="G54">
        <v>119.5</v>
      </c>
      <c r="I54">
        <v>122</v>
      </c>
      <c r="K54">
        <v>109.1</v>
      </c>
      <c r="M54">
        <v>123.8</v>
      </c>
      <c r="O54">
        <v>128.6</v>
      </c>
      <c r="Q54">
        <v>115.3</v>
      </c>
      <c r="S54">
        <v>100.9</v>
      </c>
      <c r="U54">
        <v>114.9</v>
      </c>
      <c r="W54">
        <v>117.2</v>
      </c>
      <c r="Y54">
        <v>122.1</v>
      </c>
      <c r="AA54">
        <v>123.1</v>
      </c>
      <c r="AC54">
        <v>118.8</v>
      </c>
      <c r="AE54">
        <v>119.6</v>
      </c>
      <c r="AG54">
        <v>116.3</v>
      </c>
      <c r="AI54">
        <v>118.9</v>
      </c>
      <c r="AK54">
        <v>132.6</v>
      </c>
      <c r="AM54">
        <v>115.3</v>
      </c>
      <c r="AO54">
        <v>116.8</v>
      </c>
      <c r="AQ54">
        <v>113.4</v>
      </c>
      <c r="AS54">
        <v>112</v>
      </c>
      <c r="AU54">
        <v>112.2</v>
      </c>
      <c r="AW54">
        <v>117.8</v>
      </c>
      <c r="AY54">
        <v>111.2</v>
      </c>
      <c r="BA54">
        <v>114.1</v>
      </c>
      <c r="BC54">
        <v>118.7</v>
      </c>
    </row>
    <row r="55" spans="3:55" x14ac:dyDescent="0.3">
      <c r="C55">
        <v>122.7</v>
      </c>
      <c r="E55">
        <v>124.1</v>
      </c>
      <c r="G55">
        <v>119.9</v>
      </c>
      <c r="I55">
        <v>122.2</v>
      </c>
      <c r="K55">
        <v>109.2</v>
      </c>
      <c r="M55">
        <v>124</v>
      </c>
      <c r="O55">
        <v>128.69999999999999</v>
      </c>
      <c r="Q55">
        <v>115.5</v>
      </c>
      <c r="S55">
        <v>101</v>
      </c>
      <c r="U55">
        <v>115.3</v>
      </c>
      <c r="W55">
        <v>117.3</v>
      </c>
      <c r="Y55">
        <v>122.4</v>
      </c>
      <c r="AA55">
        <v>123.3</v>
      </c>
      <c r="AC55">
        <v>119</v>
      </c>
      <c r="AE55">
        <v>119.7</v>
      </c>
      <c r="AG55">
        <v>116.5</v>
      </c>
      <c r="AI55">
        <v>119.1</v>
      </c>
      <c r="AK55">
        <v>134.4</v>
      </c>
      <c r="AM55">
        <v>115.4</v>
      </c>
      <c r="AO55">
        <v>117.2</v>
      </c>
      <c r="AQ55">
        <v>113.7</v>
      </c>
      <c r="AS55">
        <v>112.1</v>
      </c>
      <c r="AU55">
        <v>112.4</v>
      </c>
      <c r="AW55">
        <v>118</v>
      </c>
      <c r="AY55">
        <v>111.3</v>
      </c>
      <c r="BA55">
        <v>114.2</v>
      </c>
      <c r="BC55">
        <v>118.9</v>
      </c>
    </row>
    <row r="56" spans="3:55" x14ac:dyDescent="0.3">
      <c r="C56">
        <v>122.9</v>
      </c>
      <c r="E56">
        <v>124.4</v>
      </c>
      <c r="G56">
        <v>120.1</v>
      </c>
      <c r="I56">
        <v>122.7</v>
      </c>
      <c r="K56">
        <v>109.3</v>
      </c>
      <c r="M56">
        <v>124.1</v>
      </c>
      <c r="O56">
        <v>128.80000000000001</v>
      </c>
      <c r="Q56">
        <v>115.6</v>
      </c>
      <c r="S56">
        <v>101.1</v>
      </c>
      <c r="U56">
        <v>115.5</v>
      </c>
      <c r="W56">
        <v>117.7</v>
      </c>
      <c r="Y56">
        <v>122.6</v>
      </c>
      <c r="AA56">
        <v>123.4</v>
      </c>
      <c r="AC56">
        <v>119.5</v>
      </c>
      <c r="AE56">
        <v>120</v>
      </c>
      <c r="AG56">
        <v>116.8</v>
      </c>
      <c r="AI56">
        <v>119.3</v>
      </c>
      <c r="AK56">
        <v>135.69999999999999</v>
      </c>
      <c r="AM56">
        <v>115.5</v>
      </c>
      <c r="AO56">
        <v>117.3</v>
      </c>
      <c r="AQ56">
        <v>114</v>
      </c>
      <c r="AS56">
        <v>112.2</v>
      </c>
      <c r="AU56">
        <v>112.6</v>
      </c>
      <c r="AW56">
        <v>118.2</v>
      </c>
      <c r="AY56">
        <v>111.4</v>
      </c>
      <c r="BA56">
        <v>114.5</v>
      </c>
      <c r="BC56">
        <v>119</v>
      </c>
    </row>
    <row r="57" spans="3:55" x14ac:dyDescent="0.3">
      <c r="C57">
        <v>123.1</v>
      </c>
      <c r="E57">
        <v>124.7</v>
      </c>
      <c r="G57">
        <v>120.4</v>
      </c>
      <c r="I57">
        <v>123.1</v>
      </c>
      <c r="K57">
        <v>109.5</v>
      </c>
      <c r="M57">
        <v>124.5</v>
      </c>
      <c r="O57">
        <v>129.19999999999999</v>
      </c>
      <c r="Q57">
        <v>116.1</v>
      </c>
      <c r="S57">
        <v>101.2</v>
      </c>
      <c r="U57">
        <v>115.8</v>
      </c>
      <c r="W57">
        <v>117.9</v>
      </c>
      <c r="Y57">
        <v>123.1</v>
      </c>
      <c r="AA57">
        <v>123.5</v>
      </c>
      <c r="AC57">
        <v>119.9</v>
      </c>
      <c r="AE57">
        <v>120.3</v>
      </c>
      <c r="AG57">
        <v>116.9</v>
      </c>
      <c r="AI57">
        <v>119.5</v>
      </c>
      <c r="AK57">
        <v>137.30000000000001</v>
      </c>
      <c r="AM57">
        <v>115.7</v>
      </c>
      <c r="AO57">
        <v>117.5</v>
      </c>
      <c r="AQ57">
        <v>114.1</v>
      </c>
      <c r="AS57">
        <v>112.3</v>
      </c>
      <c r="AU57">
        <v>112.9</v>
      </c>
      <c r="AW57">
        <v>118.6</v>
      </c>
      <c r="AY57">
        <v>111.6</v>
      </c>
      <c r="BA57">
        <v>114.7</v>
      </c>
      <c r="BC57">
        <v>119.1</v>
      </c>
    </row>
    <row r="58" spans="3:55" x14ac:dyDescent="0.3">
      <c r="C58">
        <v>123.2</v>
      </c>
      <c r="E58">
        <v>125.1</v>
      </c>
      <c r="G58">
        <v>120.5</v>
      </c>
      <c r="I58">
        <v>123.2</v>
      </c>
      <c r="K58">
        <v>109.6</v>
      </c>
      <c r="M58">
        <v>124.9</v>
      </c>
      <c r="O58">
        <v>129.30000000000001</v>
      </c>
      <c r="Q58">
        <v>116.2</v>
      </c>
      <c r="S58">
        <v>101.3</v>
      </c>
      <c r="U58">
        <v>116</v>
      </c>
      <c r="W58">
        <v>118</v>
      </c>
      <c r="Y58">
        <v>123.2</v>
      </c>
      <c r="AA58">
        <v>123.6</v>
      </c>
      <c r="AC58">
        <v>120</v>
      </c>
      <c r="AE58">
        <v>120.7</v>
      </c>
      <c r="AG58">
        <v>117.2</v>
      </c>
      <c r="AI58">
        <v>119.6</v>
      </c>
      <c r="AK58">
        <v>138.6</v>
      </c>
      <c r="AM58">
        <v>115.8</v>
      </c>
      <c r="AO58">
        <v>117.7</v>
      </c>
      <c r="AQ58">
        <v>114.3</v>
      </c>
      <c r="AS58">
        <v>112.5</v>
      </c>
      <c r="AU58">
        <v>113</v>
      </c>
      <c r="AW58">
        <v>118.7</v>
      </c>
      <c r="AY58">
        <v>111.7</v>
      </c>
      <c r="BA58">
        <v>115</v>
      </c>
      <c r="BC58">
        <v>119.2</v>
      </c>
    </row>
    <row r="59" spans="3:55" x14ac:dyDescent="0.3">
      <c r="C59">
        <v>123.3</v>
      </c>
      <c r="E59">
        <v>125.4</v>
      </c>
      <c r="G59">
        <v>120.7</v>
      </c>
      <c r="I59">
        <v>124</v>
      </c>
      <c r="K59">
        <v>109.7</v>
      </c>
      <c r="M59">
        <v>125.5</v>
      </c>
      <c r="O59">
        <v>129.4</v>
      </c>
      <c r="Q59">
        <v>116.3</v>
      </c>
      <c r="S59">
        <v>101.4</v>
      </c>
      <c r="U59">
        <v>117</v>
      </c>
      <c r="W59">
        <v>118.1</v>
      </c>
      <c r="Y59">
        <v>123.4</v>
      </c>
      <c r="AA59">
        <v>123.7</v>
      </c>
      <c r="AC59">
        <v>120.8</v>
      </c>
      <c r="AE59">
        <v>120.9</v>
      </c>
      <c r="AG59">
        <v>117.3</v>
      </c>
      <c r="AI59">
        <v>120</v>
      </c>
      <c r="AK59">
        <v>139.1</v>
      </c>
      <c r="AM59">
        <v>116</v>
      </c>
      <c r="AO59">
        <v>118</v>
      </c>
      <c r="AQ59">
        <v>114.5</v>
      </c>
      <c r="AS59">
        <v>112.6</v>
      </c>
      <c r="AU59">
        <v>113.1</v>
      </c>
      <c r="AW59">
        <v>118.8</v>
      </c>
      <c r="AY59">
        <v>111.8</v>
      </c>
      <c r="BA59">
        <v>115.1</v>
      </c>
      <c r="BC59">
        <v>119.4</v>
      </c>
    </row>
    <row r="60" spans="3:55" x14ac:dyDescent="0.3">
      <c r="C60">
        <v>123.4</v>
      </c>
      <c r="E60">
        <v>125.5</v>
      </c>
      <c r="G60">
        <v>120.8</v>
      </c>
      <c r="I60">
        <v>124.2</v>
      </c>
      <c r="K60">
        <v>109.8</v>
      </c>
      <c r="M60">
        <v>125.7</v>
      </c>
      <c r="O60">
        <v>129.69999999999999</v>
      </c>
      <c r="Q60">
        <v>116.9</v>
      </c>
      <c r="S60">
        <v>101.5</v>
      </c>
      <c r="U60">
        <v>117.1</v>
      </c>
      <c r="W60">
        <v>118.3</v>
      </c>
      <c r="Y60">
        <v>123.8</v>
      </c>
      <c r="AA60">
        <v>123.9</v>
      </c>
      <c r="AC60">
        <v>121</v>
      </c>
      <c r="AE60">
        <v>121</v>
      </c>
      <c r="AG60">
        <v>117.4</v>
      </c>
      <c r="AI60">
        <v>120.1</v>
      </c>
      <c r="AK60">
        <v>140.4</v>
      </c>
      <c r="AM60">
        <v>116.2</v>
      </c>
      <c r="AO60">
        <v>118.1</v>
      </c>
      <c r="AQ60">
        <v>114.6</v>
      </c>
      <c r="AS60">
        <v>112.7</v>
      </c>
      <c r="AU60">
        <v>113.3</v>
      </c>
      <c r="AW60">
        <v>119</v>
      </c>
      <c r="AY60">
        <v>112</v>
      </c>
      <c r="BA60">
        <v>115.2</v>
      </c>
      <c r="BC60">
        <v>119.5</v>
      </c>
    </row>
    <row r="61" spans="3:55" x14ac:dyDescent="0.3">
      <c r="C61">
        <v>123.5</v>
      </c>
      <c r="E61">
        <v>125.6</v>
      </c>
      <c r="G61">
        <v>120.9</v>
      </c>
      <c r="I61">
        <v>124.5</v>
      </c>
      <c r="K61">
        <v>110</v>
      </c>
      <c r="M61">
        <v>125.8</v>
      </c>
      <c r="O61">
        <v>129.80000000000001</v>
      </c>
      <c r="Q61">
        <v>117</v>
      </c>
      <c r="S61">
        <v>101.8</v>
      </c>
      <c r="U61">
        <v>117.2</v>
      </c>
      <c r="W61">
        <v>118.5</v>
      </c>
      <c r="Y61">
        <v>124.5</v>
      </c>
      <c r="AA61">
        <v>124</v>
      </c>
      <c r="AC61">
        <v>121.1</v>
      </c>
      <c r="AE61">
        <v>121.3</v>
      </c>
      <c r="AG61">
        <v>117.6</v>
      </c>
      <c r="AI61">
        <v>120.2</v>
      </c>
      <c r="AK61">
        <v>141.30000000000001</v>
      </c>
      <c r="AM61">
        <v>116.4</v>
      </c>
      <c r="AO61">
        <v>118.2</v>
      </c>
      <c r="AQ61">
        <v>114.8</v>
      </c>
      <c r="AS61">
        <v>112.8</v>
      </c>
      <c r="AU61">
        <v>113.4</v>
      </c>
      <c r="AW61">
        <v>119.2</v>
      </c>
      <c r="AY61">
        <v>112.3</v>
      </c>
      <c r="BA61">
        <v>115.5</v>
      </c>
      <c r="BC61">
        <v>119.7</v>
      </c>
    </row>
    <row r="62" spans="3:55" x14ac:dyDescent="0.3">
      <c r="C62">
        <v>123.6</v>
      </c>
      <c r="E62">
        <v>125.9</v>
      </c>
      <c r="G62">
        <v>121</v>
      </c>
      <c r="I62">
        <v>124.6</v>
      </c>
      <c r="K62">
        <v>110.1</v>
      </c>
      <c r="M62">
        <v>126.1</v>
      </c>
      <c r="O62">
        <v>130.30000000000001</v>
      </c>
      <c r="Q62">
        <v>117.2</v>
      </c>
      <c r="S62">
        <v>101.9</v>
      </c>
      <c r="U62">
        <v>117.6</v>
      </c>
      <c r="W62">
        <v>118.8</v>
      </c>
      <c r="Y62">
        <v>124.7</v>
      </c>
      <c r="AA62">
        <v>124.4</v>
      </c>
      <c r="AC62">
        <v>121.7</v>
      </c>
      <c r="AE62">
        <v>121.5</v>
      </c>
      <c r="AG62">
        <v>117.9</v>
      </c>
      <c r="AI62">
        <v>120.3</v>
      </c>
      <c r="AK62">
        <v>142</v>
      </c>
      <c r="AM62">
        <v>116.5</v>
      </c>
      <c r="AO62">
        <v>118.4</v>
      </c>
      <c r="AQ62">
        <v>114.9</v>
      </c>
      <c r="AS62">
        <v>112.9</v>
      </c>
      <c r="AU62">
        <v>113.6</v>
      </c>
      <c r="AW62">
        <v>119.4</v>
      </c>
      <c r="AY62">
        <v>112.4</v>
      </c>
      <c r="BA62">
        <v>116</v>
      </c>
      <c r="BC62">
        <v>119.9</v>
      </c>
    </row>
    <row r="63" spans="3:55" x14ac:dyDescent="0.3">
      <c r="C63">
        <v>123.7</v>
      </c>
      <c r="E63">
        <v>126.1</v>
      </c>
      <c r="G63">
        <v>121.1</v>
      </c>
      <c r="I63">
        <v>124.9</v>
      </c>
      <c r="K63">
        <v>110.2</v>
      </c>
      <c r="M63">
        <v>126.2</v>
      </c>
      <c r="O63">
        <v>130.5</v>
      </c>
      <c r="Q63">
        <v>117.4</v>
      </c>
      <c r="S63">
        <v>102</v>
      </c>
      <c r="U63">
        <v>118.1</v>
      </c>
      <c r="W63">
        <v>118.9</v>
      </c>
      <c r="Y63">
        <v>124.8</v>
      </c>
      <c r="AA63">
        <v>124.6</v>
      </c>
      <c r="AC63">
        <v>122.1</v>
      </c>
      <c r="AE63">
        <v>121.7</v>
      </c>
      <c r="AG63">
        <v>118.1</v>
      </c>
      <c r="AI63">
        <v>120.6</v>
      </c>
      <c r="AK63">
        <v>142.5</v>
      </c>
      <c r="AM63">
        <v>116.9</v>
      </c>
      <c r="AO63">
        <v>118.7</v>
      </c>
      <c r="AQ63">
        <v>115.1</v>
      </c>
      <c r="AS63">
        <v>113</v>
      </c>
      <c r="AU63">
        <v>113.7</v>
      </c>
      <c r="AW63">
        <v>119.5</v>
      </c>
      <c r="AY63">
        <v>112.5</v>
      </c>
      <c r="BA63">
        <v>116.1</v>
      </c>
      <c r="BC63">
        <v>120.1</v>
      </c>
    </row>
    <row r="64" spans="3:55" x14ac:dyDescent="0.3">
      <c r="C64">
        <v>123.8</v>
      </c>
      <c r="E64">
        <v>126.4</v>
      </c>
      <c r="G64">
        <v>121.2</v>
      </c>
      <c r="I64">
        <v>125</v>
      </c>
      <c r="K64">
        <v>110.3</v>
      </c>
      <c r="M64">
        <v>126.3</v>
      </c>
      <c r="O64">
        <v>130.69999999999999</v>
      </c>
      <c r="Q64">
        <v>117.5</v>
      </c>
      <c r="S64">
        <v>102.1</v>
      </c>
      <c r="U64">
        <v>118.3</v>
      </c>
      <c r="W64">
        <v>119.1</v>
      </c>
      <c r="Y64">
        <v>125.2</v>
      </c>
      <c r="AA64">
        <v>124.7</v>
      </c>
      <c r="AC64">
        <v>122.7</v>
      </c>
      <c r="AE64">
        <v>122.1</v>
      </c>
      <c r="AG64">
        <v>118.2</v>
      </c>
      <c r="AI64">
        <v>120.7</v>
      </c>
      <c r="AK64">
        <v>142.9</v>
      </c>
      <c r="AM64">
        <v>117.3</v>
      </c>
      <c r="AO64">
        <v>118.9</v>
      </c>
      <c r="AQ64">
        <v>115.3</v>
      </c>
      <c r="AS64">
        <v>113.1</v>
      </c>
      <c r="AU64">
        <v>113.9</v>
      </c>
      <c r="AW64">
        <v>119.7</v>
      </c>
      <c r="AY64">
        <v>112.7</v>
      </c>
      <c r="BA64">
        <v>116.2</v>
      </c>
      <c r="BC64">
        <v>120.2</v>
      </c>
    </row>
    <row r="65" spans="3:55" x14ac:dyDescent="0.3">
      <c r="C65">
        <v>123.9</v>
      </c>
      <c r="E65">
        <v>126.5</v>
      </c>
      <c r="G65">
        <v>121.3</v>
      </c>
      <c r="I65">
        <v>125.2</v>
      </c>
      <c r="K65">
        <v>110.4</v>
      </c>
      <c r="M65">
        <v>126.4</v>
      </c>
      <c r="O65">
        <v>130.80000000000001</v>
      </c>
      <c r="Q65">
        <v>117.6</v>
      </c>
      <c r="S65">
        <v>102.2</v>
      </c>
      <c r="U65">
        <v>118.6</v>
      </c>
      <c r="W65">
        <v>119.2</v>
      </c>
      <c r="Y65">
        <v>125.6</v>
      </c>
      <c r="AA65">
        <v>124.9</v>
      </c>
      <c r="AC65">
        <v>123</v>
      </c>
      <c r="AE65">
        <v>122.4</v>
      </c>
      <c r="AG65">
        <v>118.3</v>
      </c>
      <c r="AI65">
        <v>120.9</v>
      </c>
      <c r="AK65">
        <v>143.19999999999999</v>
      </c>
      <c r="AM65">
        <v>117.4</v>
      </c>
      <c r="AO65">
        <v>119.2</v>
      </c>
      <c r="AQ65">
        <v>115.4</v>
      </c>
      <c r="AS65">
        <v>113.2</v>
      </c>
      <c r="AU65">
        <v>114</v>
      </c>
      <c r="AW65">
        <v>119.9</v>
      </c>
      <c r="AY65">
        <v>112.8</v>
      </c>
      <c r="BA65">
        <v>116.3</v>
      </c>
      <c r="BC65">
        <v>120.3</v>
      </c>
    </row>
    <row r="66" spans="3:55" x14ac:dyDescent="0.3">
      <c r="C66">
        <v>124</v>
      </c>
      <c r="E66">
        <v>126.7</v>
      </c>
      <c r="G66">
        <v>121.5</v>
      </c>
      <c r="I66">
        <v>125.6</v>
      </c>
      <c r="K66">
        <v>110.5</v>
      </c>
      <c r="M66">
        <v>126.6</v>
      </c>
      <c r="O66">
        <v>130.9</v>
      </c>
      <c r="Q66">
        <v>118.2</v>
      </c>
      <c r="S66">
        <v>102.6</v>
      </c>
      <c r="U66">
        <v>118.7</v>
      </c>
      <c r="W66">
        <v>119.4</v>
      </c>
      <c r="Y66">
        <v>125.9</v>
      </c>
      <c r="AA66">
        <v>125</v>
      </c>
      <c r="AC66">
        <v>124</v>
      </c>
      <c r="AE66">
        <v>122.6</v>
      </c>
      <c r="AG66">
        <v>118.4</v>
      </c>
      <c r="AI66">
        <v>121</v>
      </c>
      <c r="AK66">
        <v>143.6</v>
      </c>
      <c r="AM66">
        <v>117.7</v>
      </c>
      <c r="AO66">
        <v>119.5</v>
      </c>
      <c r="AQ66">
        <v>115.5</v>
      </c>
      <c r="AS66">
        <v>113.3</v>
      </c>
      <c r="AU66">
        <v>114.3</v>
      </c>
      <c r="AW66">
        <v>120</v>
      </c>
      <c r="AY66">
        <v>112.9</v>
      </c>
      <c r="BA66">
        <v>116.5</v>
      </c>
      <c r="BC66">
        <v>120.6</v>
      </c>
    </row>
    <row r="67" spans="3:55" x14ac:dyDescent="0.3">
      <c r="C67">
        <v>124.1</v>
      </c>
      <c r="E67">
        <v>127.1</v>
      </c>
      <c r="G67">
        <v>121.6</v>
      </c>
      <c r="I67">
        <v>125.7</v>
      </c>
      <c r="K67">
        <v>110.6</v>
      </c>
      <c r="M67">
        <v>126.7</v>
      </c>
      <c r="O67">
        <v>131.30000000000001</v>
      </c>
      <c r="Q67">
        <v>118.4</v>
      </c>
      <c r="S67">
        <v>102.7</v>
      </c>
      <c r="U67">
        <v>119.1</v>
      </c>
      <c r="W67">
        <v>119.8</v>
      </c>
      <c r="Y67">
        <v>126.1</v>
      </c>
      <c r="AA67">
        <v>125.1</v>
      </c>
      <c r="AC67">
        <v>124.2</v>
      </c>
      <c r="AE67">
        <v>122.7</v>
      </c>
      <c r="AG67">
        <v>118.6</v>
      </c>
      <c r="AI67">
        <v>121.3</v>
      </c>
      <c r="AK67">
        <v>144.6</v>
      </c>
      <c r="AM67">
        <v>117.8</v>
      </c>
      <c r="AO67">
        <v>119.6</v>
      </c>
      <c r="AQ67">
        <v>115.9</v>
      </c>
      <c r="AS67">
        <v>113.4</v>
      </c>
      <c r="AU67">
        <v>114.6</v>
      </c>
      <c r="AW67">
        <v>120.1</v>
      </c>
      <c r="AY67">
        <v>113</v>
      </c>
      <c r="BA67">
        <v>116.6</v>
      </c>
      <c r="BC67">
        <v>120.7</v>
      </c>
    </row>
    <row r="68" spans="3:55" x14ac:dyDescent="0.3">
      <c r="C68">
        <v>124.2</v>
      </c>
      <c r="E68">
        <v>127.3</v>
      </c>
      <c r="G68">
        <v>121.7</v>
      </c>
      <c r="I68">
        <v>125.8</v>
      </c>
      <c r="K68">
        <v>110.9</v>
      </c>
      <c r="M68">
        <v>127.3</v>
      </c>
      <c r="O68">
        <v>131.4</v>
      </c>
      <c r="Q68">
        <v>118.8</v>
      </c>
      <c r="S68">
        <v>102.8</v>
      </c>
      <c r="U68">
        <v>119.4</v>
      </c>
      <c r="W68">
        <v>119.9</v>
      </c>
      <c r="Y68">
        <v>126.7</v>
      </c>
      <c r="AA68">
        <v>125.3</v>
      </c>
      <c r="AC68">
        <v>124.3</v>
      </c>
      <c r="AE68">
        <v>123.1</v>
      </c>
      <c r="AG68">
        <v>118.8</v>
      </c>
      <c r="AI68">
        <v>121.6</v>
      </c>
      <c r="AK68">
        <v>145.30000000000001</v>
      </c>
      <c r="AM68">
        <v>118</v>
      </c>
      <c r="AO68">
        <v>119.7</v>
      </c>
      <c r="AQ68">
        <v>116</v>
      </c>
      <c r="AS68">
        <v>113.6</v>
      </c>
      <c r="AU68">
        <v>114.8</v>
      </c>
      <c r="AW68">
        <v>120.2</v>
      </c>
      <c r="AY68">
        <v>113.2</v>
      </c>
      <c r="BA68">
        <v>116.7</v>
      </c>
      <c r="BC68">
        <v>120.9</v>
      </c>
    </row>
    <row r="69" spans="3:55" x14ac:dyDescent="0.3">
      <c r="C69">
        <v>124.3</v>
      </c>
      <c r="E69">
        <v>128</v>
      </c>
      <c r="G69">
        <v>121.8</v>
      </c>
      <c r="I69">
        <v>125.9</v>
      </c>
      <c r="K69">
        <v>111</v>
      </c>
      <c r="M69">
        <v>127.6</v>
      </c>
      <c r="O69">
        <v>131.6</v>
      </c>
      <c r="Q69">
        <v>119.1</v>
      </c>
      <c r="S69">
        <v>102.9</v>
      </c>
      <c r="U69">
        <v>119.8</v>
      </c>
      <c r="W69">
        <v>120.2</v>
      </c>
      <c r="Y69">
        <v>126.8</v>
      </c>
      <c r="AA69">
        <v>125.4</v>
      </c>
      <c r="AC69">
        <v>124.7</v>
      </c>
      <c r="AE69">
        <v>123.2</v>
      </c>
      <c r="AG69">
        <v>119.2</v>
      </c>
      <c r="AI69">
        <v>122</v>
      </c>
      <c r="AK69">
        <v>146.30000000000001</v>
      </c>
      <c r="AM69">
        <v>118.3</v>
      </c>
      <c r="AO69">
        <v>120</v>
      </c>
      <c r="AQ69">
        <v>116.2</v>
      </c>
      <c r="AS69">
        <v>113.7</v>
      </c>
      <c r="AU69">
        <v>114.9</v>
      </c>
      <c r="AW69">
        <v>120.3</v>
      </c>
      <c r="AY69">
        <v>113.3</v>
      </c>
      <c r="BA69">
        <v>116.8</v>
      </c>
      <c r="BC69">
        <v>121</v>
      </c>
    </row>
    <row r="70" spans="3:55" x14ac:dyDescent="0.3">
      <c r="C70">
        <v>124.5</v>
      </c>
      <c r="E70">
        <v>128.19999999999999</v>
      </c>
      <c r="G70">
        <v>122</v>
      </c>
      <c r="I70">
        <v>126</v>
      </c>
      <c r="K70">
        <v>111.1</v>
      </c>
      <c r="M70">
        <v>127.7</v>
      </c>
      <c r="O70">
        <v>131.69999999999999</v>
      </c>
      <c r="Q70">
        <v>119.3</v>
      </c>
      <c r="S70">
        <v>103.1</v>
      </c>
      <c r="U70">
        <v>120</v>
      </c>
      <c r="W70">
        <v>120.4</v>
      </c>
      <c r="Y70">
        <v>126.9</v>
      </c>
      <c r="AA70">
        <v>125.8</v>
      </c>
      <c r="AC70">
        <v>125.2</v>
      </c>
      <c r="AE70">
        <v>123.3</v>
      </c>
      <c r="AG70">
        <v>119.3</v>
      </c>
      <c r="AI70">
        <v>122.3</v>
      </c>
      <c r="AK70">
        <v>146.5</v>
      </c>
      <c r="AM70">
        <v>118.4</v>
      </c>
      <c r="AO70">
        <v>120.2</v>
      </c>
      <c r="AQ70">
        <v>116.3</v>
      </c>
      <c r="AS70">
        <v>113.8</v>
      </c>
      <c r="AU70">
        <v>115.4</v>
      </c>
      <c r="AW70">
        <v>120.4</v>
      </c>
      <c r="AY70">
        <v>113.4</v>
      </c>
      <c r="BA70">
        <v>116.9</v>
      </c>
      <c r="BC70">
        <v>121.1</v>
      </c>
    </row>
    <row r="71" spans="3:55" x14ac:dyDescent="0.3">
      <c r="C71">
        <v>124.6</v>
      </c>
      <c r="E71">
        <v>128.6</v>
      </c>
      <c r="G71">
        <v>122.1</v>
      </c>
      <c r="I71">
        <v>126.3</v>
      </c>
      <c r="K71">
        <v>111.4</v>
      </c>
      <c r="M71">
        <v>128.19999999999999</v>
      </c>
      <c r="O71">
        <v>131.80000000000001</v>
      </c>
      <c r="Q71">
        <v>119.8</v>
      </c>
      <c r="S71">
        <v>103.2</v>
      </c>
      <c r="U71">
        <v>120.3</v>
      </c>
      <c r="W71">
        <v>120.5</v>
      </c>
      <c r="Y71">
        <v>127.6</v>
      </c>
      <c r="AA71">
        <v>126.1</v>
      </c>
      <c r="AC71">
        <v>125.7</v>
      </c>
      <c r="AE71">
        <v>123.5</v>
      </c>
      <c r="AG71">
        <v>119.5</v>
      </c>
      <c r="AI71">
        <v>122.5</v>
      </c>
      <c r="AK71">
        <v>146.9</v>
      </c>
      <c r="AM71">
        <v>118.7</v>
      </c>
      <c r="AO71">
        <v>120.4</v>
      </c>
      <c r="AQ71">
        <v>116.6</v>
      </c>
      <c r="AS71">
        <v>113.9</v>
      </c>
      <c r="AU71">
        <v>115.5</v>
      </c>
      <c r="AW71">
        <v>120.5</v>
      </c>
      <c r="AY71">
        <v>113.5</v>
      </c>
      <c r="BA71">
        <v>117</v>
      </c>
      <c r="BC71">
        <v>121.5</v>
      </c>
    </row>
    <row r="72" spans="3:55" x14ac:dyDescent="0.3">
      <c r="C72">
        <v>124.7</v>
      </c>
      <c r="E72">
        <v>129</v>
      </c>
      <c r="G72">
        <v>122.5</v>
      </c>
      <c r="I72">
        <v>126.6</v>
      </c>
      <c r="K72">
        <v>111.5</v>
      </c>
      <c r="M72">
        <v>128.30000000000001</v>
      </c>
      <c r="O72">
        <v>132.1</v>
      </c>
      <c r="Q72">
        <v>119.9</v>
      </c>
      <c r="S72">
        <v>103.3</v>
      </c>
      <c r="U72">
        <v>120.7</v>
      </c>
      <c r="W72">
        <v>120.6</v>
      </c>
      <c r="Y72">
        <v>127.7</v>
      </c>
      <c r="AA72">
        <v>126.6</v>
      </c>
      <c r="AC72">
        <v>125.8</v>
      </c>
      <c r="AE72">
        <v>123.7</v>
      </c>
      <c r="AG72">
        <v>119.8</v>
      </c>
      <c r="AI72">
        <v>122.7</v>
      </c>
      <c r="AK72">
        <v>147.69999999999999</v>
      </c>
      <c r="AM72">
        <v>118.9</v>
      </c>
      <c r="AO72">
        <v>120.7</v>
      </c>
      <c r="AQ72">
        <v>116.7</v>
      </c>
      <c r="AS72">
        <v>114</v>
      </c>
      <c r="AU72">
        <v>115.6</v>
      </c>
      <c r="AW72">
        <v>120.6</v>
      </c>
      <c r="AY72">
        <v>113.7</v>
      </c>
      <c r="BA72">
        <v>117.2</v>
      </c>
      <c r="BC72">
        <v>121.6</v>
      </c>
    </row>
    <row r="73" spans="3:55" x14ac:dyDescent="0.3">
      <c r="C73">
        <v>124.8</v>
      </c>
      <c r="E73">
        <v>129.69999999999999</v>
      </c>
      <c r="G73">
        <v>122.6</v>
      </c>
      <c r="I73">
        <v>126.8</v>
      </c>
      <c r="K73">
        <v>111.8</v>
      </c>
      <c r="M73">
        <v>128.4</v>
      </c>
      <c r="O73">
        <v>132.30000000000001</v>
      </c>
      <c r="Q73">
        <v>120.1</v>
      </c>
      <c r="S73">
        <v>103.5</v>
      </c>
      <c r="U73">
        <v>121.6</v>
      </c>
      <c r="W73">
        <v>120.7</v>
      </c>
      <c r="Y73">
        <v>128</v>
      </c>
      <c r="AA73">
        <v>126.7</v>
      </c>
      <c r="AC73">
        <v>126.4</v>
      </c>
      <c r="AE73">
        <v>123.8</v>
      </c>
      <c r="AG73">
        <v>120.1</v>
      </c>
      <c r="AI73">
        <v>122.9</v>
      </c>
      <c r="AK73">
        <v>148.5</v>
      </c>
      <c r="AM73">
        <v>119</v>
      </c>
      <c r="AO73">
        <v>120.9</v>
      </c>
      <c r="AQ73">
        <v>117.1</v>
      </c>
      <c r="AS73">
        <v>114.1</v>
      </c>
      <c r="AU73">
        <v>115.9</v>
      </c>
      <c r="AW73">
        <v>120.7</v>
      </c>
      <c r="AY73">
        <v>113.8</v>
      </c>
      <c r="BA73">
        <v>117.3</v>
      </c>
      <c r="BC73">
        <v>121.7</v>
      </c>
    </row>
    <row r="74" spans="3:55" x14ac:dyDescent="0.3">
      <c r="C74">
        <v>124.9</v>
      </c>
      <c r="E74">
        <v>129.80000000000001</v>
      </c>
      <c r="G74">
        <v>122.7</v>
      </c>
      <c r="I74">
        <v>127.3</v>
      </c>
      <c r="K74">
        <v>111.9</v>
      </c>
      <c r="M74">
        <v>128.6</v>
      </c>
      <c r="O74">
        <v>132.4</v>
      </c>
      <c r="Q74">
        <v>120.3</v>
      </c>
      <c r="S74">
        <v>103.6</v>
      </c>
      <c r="U74">
        <v>122.1</v>
      </c>
      <c r="W74">
        <v>121</v>
      </c>
      <c r="Y74">
        <v>128.4</v>
      </c>
      <c r="AA74">
        <v>127.1</v>
      </c>
      <c r="AC74">
        <v>126.7</v>
      </c>
      <c r="AE74">
        <v>124</v>
      </c>
      <c r="AG74">
        <v>120.3</v>
      </c>
      <c r="AI74">
        <v>123.2</v>
      </c>
      <c r="AK74">
        <v>149</v>
      </c>
      <c r="AM74">
        <v>119.2</v>
      </c>
      <c r="AO74">
        <v>121</v>
      </c>
      <c r="AQ74">
        <v>117.7</v>
      </c>
      <c r="AS74">
        <v>114.2</v>
      </c>
      <c r="AU74">
        <v>116</v>
      </c>
      <c r="AW74">
        <v>120.8</v>
      </c>
      <c r="AY74">
        <v>113.9</v>
      </c>
      <c r="BA74">
        <v>117.5</v>
      </c>
      <c r="BC74">
        <v>122.4</v>
      </c>
    </row>
    <row r="75" spans="3:55" x14ac:dyDescent="0.3">
      <c r="C75">
        <v>125</v>
      </c>
      <c r="E75">
        <v>130.30000000000001</v>
      </c>
      <c r="G75">
        <v>123.3</v>
      </c>
      <c r="I75">
        <v>127.7</v>
      </c>
      <c r="K75">
        <v>112.5</v>
      </c>
      <c r="M75">
        <v>128.80000000000001</v>
      </c>
      <c r="O75">
        <v>132.6</v>
      </c>
      <c r="Q75">
        <v>120.7</v>
      </c>
      <c r="S75">
        <v>103.7</v>
      </c>
      <c r="U75">
        <v>122.4</v>
      </c>
      <c r="W75">
        <v>121.1</v>
      </c>
      <c r="Y75">
        <v>128.6</v>
      </c>
      <c r="AA75">
        <v>127.3</v>
      </c>
      <c r="AC75">
        <v>126.9</v>
      </c>
      <c r="AE75">
        <v>124.3</v>
      </c>
      <c r="AG75">
        <v>120.4</v>
      </c>
      <c r="AI75">
        <v>123.3</v>
      </c>
      <c r="AK75">
        <v>149.4</v>
      </c>
      <c r="AM75">
        <v>119.7</v>
      </c>
      <c r="AO75">
        <v>121.1</v>
      </c>
      <c r="AQ75">
        <v>118.1</v>
      </c>
      <c r="AS75">
        <v>114.3</v>
      </c>
      <c r="AU75">
        <v>116.2</v>
      </c>
      <c r="AW75">
        <v>121</v>
      </c>
      <c r="AY75">
        <v>114</v>
      </c>
      <c r="BA75">
        <v>117.9</v>
      </c>
      <c r="BC75">
        <v>123</v>
      </c>
    </row>
    <row r="76" spans="3:55" x14ac:dyDescent="0.3">
      <c r="C76">
        <v>125.1</v>
      </c>
      <c r="E76">
        <v>130.4</v>
      </c>
      <c r="G76">
        <v>123.4</v>
      </c>
      <c r="I76">
        <v>128</v>
      </c>
      <c r="K76">
        <v>112.6</v>
      </c>
      <c r="M76">
        <v>128.9</v>
      </c>
      <c r="O76">
        <v>133</v>
      </c>
      <c r="Q76">
        <v>120.9</v>
      </c>
      <c r="S76">
        <v>103.8</v>
      </c>
      <c r="U76">
        <v>122.9</v>
      </c>
      <c r="W76">
        <v>121.5</v>
      </c>
      <c r="Y76">
        <v>128.69999999999999</v>
      </c>
      <c r="AA76">
        <v>127.5</v>
      </c>
      <c r="AC76">
        <v>127.4</v>
      </c>
      <c r="AE76">
        <v>124.4</v>
      </c>
      <c r="AG76">
        <v>120.5</v>
      </c>
      <c r="AI76">
        <v>123.6</v>
      </c>
      <c r="AK76">
        <v>150.1</v>
      </c>
      <c r="AM76">
        <v>119.8</v>
      </c>
      <c r="AO76">
        <v>121.3</v>
      </c>
      <c r="AQ76">
        <v>118.2</v>
      </c>
      <c r="AS76">
        <v>114.4</v>
      </c>
      <c r="AU76">
        <v>116.3</v>
      </c>
      <c r="AW76">
        <v>121.4</v>
      </c>
      <c r="AY76">
        <v>114.1</v>
      </c>
      <c r="BA76">
        <v>118.1</v>
      </c>
      <c r="BC76">
        <v>123.2</v>
      </c>
    </row>
    <row r="77" spans="3:55" x14ac:dyDescent="0.3">
      <c r="C77">
        <v>125.4</v>
      </c>
      <c r="E77">
        <v>130.6</v>
      </c>
      <c r="G77">
        <v>123.5</v>
      </c>
      <c r="I77">
        <v>128.19999999999999</v>
      </c>
      <c r="K77">
        <v>113.3</v>
      </c>
      <c r="M77">
        <v>129</v>
      </c>
      <c r="O77">
        <v>133.30000000000001</v>
      </c>
      <c r="Q77">
        <v>121</v>
      </c>
      <c r="S77">
        <v>103.9</v>
      </c>
      <c r="U77">
        <v>123</v>
      </c>
      <c r="W77">
        <v>121.6</v>
      </c>
      <c r="Y77">
        <v>129.1</v>
      </c>
      <c r="AA77">
        <v>128.19999999999999</v>
      </c>
      <c r="AC77">
        <v>127.9</v>
      </c>
      <c r="AE77">
        <v>124.7</v>
      </c>
      <c r="AG77">
        <v>120.6</v>
      </c>
      <c r="AI77">
        <v>123.7</v>
      </c>
      <c r="AK77">
        <v>150.6</v>
      </c>
      <c r="AM77">
        <v>120</v>
      </c>
      <c r="AO77">
        <v>121.5</v>
      </c>
      <c r="AQ77">
        <v>118.5</v>
      </c>
      <c r="AS77">
        <v>114.6</v>
      </c>
      <c r="AU77">
        <v>116.6</v>
      </c>
      <c r="AW77">
        <v>121.7</v>
      </c>
      <c r="AY77">
        <v>114.2</v>
      </c>
      <c r="BA77">
        <v>118.2</v>
      </c>
      <c r="BC77">
        <v>123.5</v>
      </c>
    </row>
    <row r="78" spans="3:55" x14ac:dyDescent="0.3">
      <c r="C78">
        <v>125.6</v>
      </c>
      <c r="E78">
        <v>131.1</v>
      </c>
      <c r="G78">
        <v>123.7</v>
      </c>
      <c r="I78">
        <v>128.30000000000001</v>
      </c>
      <c r="K78">
        <v>113.4</v>
      </c>
      <c r="M78">
        <v>129.1</v>
      </c>
      <c r="O78">
        <v>133.4</v>
      </c>
      <c r="Q78">
        <v>121.3</v>
      </c>
      <c r="S78">
        <v>104</v>
      </c>
      <c r="U78">
        <v>123.4</v>
      </c>
      <c r="W78">
        <v>121.7</v>
      </c>
      <c r="Y78">
        <v>129.19999999999999</v>
      </c>
      <c r="AA78">
        <v>128.5</v>
      </c>
      <c r="AC78">
        <v>128.1</v>
      </c>
      <c r="AE78">
        <v>125</v>
      </c>
      <c r="AG78">
        <v>120.7</v>
      </c>
      <c r="AI78">
        <v>124</v>
      </c>
      <c r="AK78">
        <v>151.6</v>
      </c>
      <c r="AM78">
        <v>120.1</v>
      </c>
      <c r="AO78">
        <v>121.6</v>
      </c>
      <c r="AQ78">
        <v>118.6</v>
      </c>
      <c r="AS78">
        <v>115</v>
      </c>
      <c r="AU78">
        <v>116.7</v>
      </c>
      <c r="AW78">
        <v>122</v>
      </c>
      <c r="AY78">
        <v>114.5</v>
      </c>
      <c r="BA78">
        <v>118.3</v>
      </c>
      <c r="BC78">
        <v>123.6</v>
      </c>
    </row>
    <row r="79" spans="3:55" x14ac:dyDescent="0.3">
      <c r="C79">
        <v>125.7</v>
      </c>
      <c r="E79">
        <v>131.30000000000001</v>
      </c>
      <c r="G79">
        <v>123.8</v>
      </c>
      <c r="I79">
        <v>128.5</v>
      </c>
      <c r="K79">
        <v>113.5</v>
      </c>
      <c r="M79">
        <v>129.19999999999999</v>
      </c>
      <c r="O79">
        <v>134.1</v>
      </c>
      <c r="Q79">
        <v>121.4</v>
      </c>
      <c r="S79">
        <v>104.1</v>
      </c>
      <c r="U79">
        <v>123.8</v>
      </c>
      <c r="W79">
        <v>121.9</v>
      </c>
      <c r="Y79">
        <v>129.5</v>
      </c>
      <c r="AA79">
        <v>128.9</v>
      </c>
      <c r="AC79">
        <v>128.19999999999999</v>
      </c>
      <c r="AE79">
        <v>125.4</v>
      </c>
      <c r="AG79">
        <v>120.8</v>
      </c>
      <c r="AI79">
        <v>124.1</v>
      </c>
      <c r="AK79">
        <v>152.19999999999999</v>
      </c>
      <c r="AM79">
        <v>120.4</v>
      </c>
      <c r="AO79">
        <v>121.8</v>
      </c>
      <c r="AQ79">
        <v>119</v>
      </c>
      <c r="AS79">
        <v>115.1</v>
      </c>
      <c r="AU79">
        <v>116.9</v>
      </c>
      <c r="AW79">
        <v>122.9</v>
      </c>
      <c r="AY79">
        <v>114.9</v>
      </c>
      <c r="BA79">
        <v>118.5</v>
      </c>
      <c r="BC79">
        <v>123.8</v>
      </c>
    </row>
    <row r="80" spans="3:55" x14ac:dyDescent="0.3">
      <c r="C80">
        <v>125.9</v>
      </c>
      <c r="E80">
        <v>131.4</v>
      </c>
      <c r="G80">
        <v>124.1</v>
      </c>
      <c r="I80">
        <v>128.6</v>
      </c>
      <c r="K80">
        <v>114</v>
      </c>
      <c r="M80">
        <v>129.30000000000001</v>
      </c>
      <c r="O80">
        <v>134.4</v>
      </c>
      <c r="Q80">
        <v>121.5</v>
      </c>
      <c r="S80">
        <v>104.2</v>
      </c>
      <c r="U80">
        <v>123.9</v>
      </c>
      <c r="W80">
        <v>122</v>
      </c>
      <c r="Y80">
        <v>129.80000000000001</v>
      </c>
      <c r="AA80">
        <v>129.1</v>
      </c>
      <c r="AC80">
        <v>128.80000000000001</v>
      </c>
      <c r="AE80">
        <v>125.8</v>
      </c>
      <c r="AG80">
        <v>121.1</v>
      </c>
      <c r="AI80">
        <v>124.2</v>
      </c>
      <c r="AK80">
        <v>152.80000000000001</v>
      </c>
      <c r="AM80">
        <v>120.6</v>
      </c>
      <c r="AO80">
        <v>122</v>
      </c>
      <c r="AQ80">
        <v>119.1</v>
      </c>
      <c r="AS80">
        <v>115.2</v>
      </c>
      <c r="AU80">
        <v>117.2</v>
      </c>
      <c r="AW80">
        <v>123.1</v>
      </c>
      <c r="AY80">
        <v>116.2</v>
      </c>
      <c r="BA80">
        <v>118.7</v>
      </c>
      <c r="BC80">
        <v>124</v>
      </c>
    </row>
    <row r="81" spans="3:55" x14ac:dyDescent="0.3">
      <c r="C81">
        <v>126.1</v>
      </c>
      <c r="E81">
        <v>131.5</v>
      </c>
      <c r="G81">
        <v>124.4</v>
      </c>
      <c r="I81">
        <v>128.69999999999999</v>
      </c>
      <c r="K81">
        <v>114.1</v>
      </c>
      <c r="M81">
        <v>129.4</v>
      </c>
      <c r="O81">
        <v>134.6</v>
      </c>
      <c r="Q81">
        <v>121.7</v>
      </c>
      <c r="S81">
        <v>104.3</v>
      </c>
      <c r="U81">
        <v>124.6</v>
      </c>
      <c r="W81">
        <v>122.1</v>
      </c>
      <c r="Y81">
        <v>129.9</v>
      </c>
      <c r="AA81">
        <v>129.5</v>
      </c>
      <c r="AC81">
        <v>129.19999999999999</v>
      </c>
      <c r="AE81">
        <v>126</v>
      </c>
      <c r="AG81">
        <v>121.3</v>
      </c>
      <c r="AI81">
        <v>124.5</v>
      </c>
      <c r="AK81">
        <v>153</v>
      </c>
      <c r="AM81">
        <v>120.8</v>
      </c>
      <c r="AO81">
        <v>122.3</v>
      </c>
      <c r="AQ81">
        <v>119.4</v>
      </c>
      <c r="AS81">
        <v>115.3</v>
      </c>
      <c r="AU81">
        <v>117.3</v>
      </c>
      <c r="AW81">
        <v>123.6</v>
      </c>
      <c r="AY81">
        <v>116.6</v>
      </c>
      <c r="BA81">
        <v>118.8</v>
      </c>
      <c r="BC81">
        <v>124.1</v>
      </c>
    </row>
    <row r="82" spans="3:55" x14ac:dyDescent="0.3">
      <c r="C82">
        <v>126.3</v>
      </c>
      <c r="E82">
        <v>131.69999999999999</v>
      </c>
      <c r="G82">
        <v>124.5</v>
      </c>
      <c r="I82">
        <v>128.80000000000001</v>
      </c>
      <c r="K82">
        <v>114.3</v>
      </c>
      <c r="M82">
        <v>129.6</v>
      </c>
      <c r="O82">
        <v>135</v>
      </c>
      <c r="Q82">
        <v>121.8</v>
      </c>
      <c r="S82">
        <v>104.7</v>
      </c>
      <c r="U82">
        <v>125.4</v>
      </c>
      <c r="W82">
        <v>122.3</v>
      </c>
      <c r="Y82">
        <v>130.5</v>
      </c>
      <c r="AA82">
        <v>129.80000000000001</v>
      </c>
      <c r="AC82">
        <v>129.4</v>
      </c>
      <c r="AE82">
        <v>126.2</v>
      </c>
      <c r="AG82">
        <v>121.4</v>
      </c>
      <c r="AI82">
        <v>124.7</v>
      </c>
      <c r="AK82">
        <v>153.5</v>
      </c>
      <c r="AM82">
        <v>121.2</v>
      </c>
      <c r="AO82">
        <v>122.6</v>
      </c>
      <c r="AQ82">
        <v>119.5</v>
      </c>
      <c r="AS82">
        <v>115.5</v>
      </c>
      <c r="AU82">
        <v>117.7</v>
      </c>
      <c r="AW82">
        <v>123.8</v>
      </c>
      <c r="AY82">
        <v>116.8</v>
      </c>
      <c r="BA82">
        <v>119.1</v>
      </c>
      <c r="BC82">
        <v>124.2</v>
      </c>
    </row>
    <row r="83" spans="3:55" x14ac:dyDescent="0.3">
      <c r="C83">
        <v>126.4</v>
      </c>
      <c r="E83">
        <v>131.80000000000001</v>
      </c>
      <c r="G83">
        <v>124.6</v>
      </c>
      <c r="I83">
        <v>128.9</v>
      </c>
      <c r="K83">
        <v>114.5</v>
      </c>
      <c r="M83">
        <v>129.69999999999999</v>
      </c>
      <c r="O83">
        <v>135.1</v>
      </c>
      <c r="Q83">
        <v>122.2</v>
      </c>
      <c r="S83">
        <v>104.8</v>
      </c>
      <c r="U83">
        <v>125.5</v>
      </c>
      <c r="W83">
        <v>122.5</v>
      </c>
      <c r="Y83">
        <v>130.9</v>
      </c>
      <c r="AA83">
        <v>129.9</v>
      </c>
      <c r="AC83">
        <v>130.1</v>
      </c>
      <c r="AE83">
        <v>126.4</v>
      </c>
      <c r="AG83">
        <v>121.6</v>
      </c>
      <c r="AI83">
        <v>124.9</v>
      </c>
      <c r="AK83">
        <v>153.9</v>
      </c>
      <c r="AM83">
        <v>121.4</v>
      </c>
      <c r="AO83">
        <v>122.8</v>
      </c>
      <c r="AQ83">
        <v>119.7</v>
      </c>
      <c r="AS83">
        <v>115.6</v>
      </c>
      <c r="AU83">
        <v>117.8</v>
      </c>
      <c r="AW83">
        <v>124.4</v>
      </c>
      <c r="AY83">
        <v>117.1</v>
      </c>
      <c r="BA83">
        <v>119.2</v>
      </c>
      <c r="BC83">
        <v>124.6</v>
      </c>
    </row>
    <row r="84" spans="3:55" x14ac:dyDescent="0.3">
      <c r="C84">
        <v>126.5</v>
      </c>
      <c r="E84">
        <v>132.5</v>
      </c>
      <c r="G84">
        <v>124.8</v>
      </c>
      <c r="I84">
        <v>129.1</v>
      </c>
      <c r="K84">
        <v>114.7</v>
      </c>
      <c r="M84">
        <v>129.80000000000001</v>
      </c>
      <c r="O84">
        <v>135.19999999999999</v>
      </c>
      <c r="Q84">
        <v>122.3</v>
      </c>
      <c r="S84">
        <v>105</v>
      </c>
      <c r="U84">
        <v>126.1</v>
      </c>
      <c r="W84">
        <v>122.7</v>
      </c>
      <c r="Y84">
        <v>131.1</v>
      </c>
      <c r="AA84">
        <v>130.30000000000001</v>
      </c>
      <c r="AC84">
        <v>130.4</v>
      </c>
      <c r="AE84">
        <v>126.7</v>
      </c>
      <c r="AG84">
        <v>121.9</v>
      </c>
      <c r="AI84">
        <v>125</v>
      </c>
      <c r="AK84">
        <v>154.5</v>
      </c>
      <c r="AM84">
        <v>121.6</v>
      </c>
      <c r="AO84">
        <v>123</v>
      </c>
      <c r="AQ84">
        <v>119.8</v>
      </c>
      <c r="AS84">
        <v>115.7</v>
      </c>
      <c r="AU84">
        <v>117.9</v>
      </c>
      <c r="AW84">
        <v>124.5</v>
      </c>
      <c r="AY84">
        <v>117.3</v>
      </c>
      <c r="BA84">
        <v>119.3</v>
      </c>
      <c r="BC84">
        <v>124.7</v>
      </c>
    </row>
    <row r="85" spans="3:55" x14ac:dyDescent="0.3">
      <c r="C85">
        <v>126.6</v>
      </c>
      <c r="E85">
        <v>133.19999999999999</v>
      </c>
      <c r="G85">
        <v>125.1</v>
      </c>
      <c r="I85">
        <v>129.19999999999999</v>
      </c>
      <c r="K85">
        <v>114.8</v>
      </c>
      <c r="M85">
        <v>130.1</v>
      </c>
      <c r="O85">
        <v>135.6</v>
      </c>
      <c r="Q85">
        <v>122.4</v>
      </c>
      <c r="S85">
        <v>105.1</v>
      </c>
      <c r="U85">
        <v>126.6</v>
      </c>
      <c r="W85">
        <v>123</v>
      </c>
      <c r="Y85">
        <v>131.19999999999999</v>
      </c>
      <c r="AA85">
        <v>130.4</v>
      </c>
      <c r="AC85">
        <v>131</v>
      </c>
      <c r="AE85">
        <v>126.8</v>
      </c>
      <c r="AG85">
        <v>122</v>
      </c>
      <c r="AI85">
        <v>125.3</v>
      </c>
      <c r="AK85">
        <v>154.69999999999999</v>
      </c>
      <c r="AM85">
        <v>121.9</v>
      </c>
      <c r="AO85">
        <v>123.2</v>
      </c>
      <c r="AQ85">
        <v>120</v>
      </c>
      <c r="AS85">
        <v>116</v>
      </c>
      <c r="AU85">
        <v>118</v>
      </c>
      <c r="AW85">
        <v>125.1</v>
      </c>
      <c r="AY85">
        <v>117.4</v>
      </c>
      <c r="BA85">
        <v>119.6</v>
      </c>
      <c r="BC85">
        <v>124.8</v>
      </c>
    </row>
    <row r="86" spans="3:55" x14ac:dyDescent="0.3">
      <c r="C86">
        <v>126.8</v>
      </c>
      <c r="E86">
        <v>133.69999999999999</v>
      </c>
      <c r="G86">
        <v>125.4</v>
      </c>
      <c r="I86">
        <v>129.4</v>
      </c>
      <c r="K86">
        <v>114.9</v>
      </c>
      <c r="M86">
        <v>130.4</v>
      </c>
      <c r="O86">
        <v>136.6</v>
      </c>
      <c r="Q86">
        <v>122.9</v>
      </c>
      <c r="S86">
        <v>105.3</v>
      </c>
      <c r="U86">
        <v>126.8</v>
      </c>
      <c r="W86">
        <v>123.1</v>
      </c>
      <c r="Y86">
        <v>131.4</v>
      </c>
      <c r="AA86">
        <v>131</v>
      </c>
      <c r="AC86">
        <v>131.19999999999999</v>
      </c>
      <c r="AE86">
        <v>127.2</v>
      </c>
      <c r="AG86">
        <v>122.1</v>
      </c>
      <c r="AI86">
        <v>125.5</v>
      </c>
      <c r="AK86">
        <v>154.80000000000001</v>
      </c>
      <c r="AM86">
        <v>122</v>
      </c>
      <c r="AO86">
        <v>123.4</v>
      </c>
      <c r="AQ86">
        <v>120.3</v>
      </c>
      <c r="AS86">
        <v>116.3</v>
      </c>
      <c r="AU86">
        <v>118.1</v>
      </c>
      <c r="AW86">
        <v>125.4</v>
      </c>
      <c r="AY86">
        <v>117.6</v>
      </c>
      <c r="BA86">
        <v>119.8</v>
      </c>
      <c r="BC86">
        <v>125.3</v>
      </c>
    </row>
    <row r="87" spans="3:55" x14ac:dyDescent="0.3">
      <c r="C87">
        <v>127.1</v>
      </c>
      <c r="E87">
        <v>134.1</v>
      </c>
      <c r="G87">
        <v>125.6</v>
      </c>
      <c r="I87">
        <v>129.5</v>
      </c>
      <c r="K87">
        <v>115</v>
      </c>
      <c r="M87">
        <v>130.6</v>
      </c>
      <c r="O87">
        <v>136.80000000000001</v>
      </c>
      <c r="Q87">
        <v>123.5</v>
      </c>
      <c r="S87">
        <v>105.7</v>
      </c>
      <c r="U87">
        <v>127.4</v>
      </c>
      <c r="W87">
        <v>123.2</v>
      </c>
      <c r="Y87">
        <v>131.69999999999999</v>
      </c>
      <c r="AA87">
        <v>131.1</v>
      </c>
      <c r="AC87">
        <v>131.30000000000001</v>
      </c>
      <c r="AE87">
        <v>127.3</v>
      </c>
      <c r="AG87">
        <v>122.2</v>
      </c>
      <c r="AI87">
        <v>125.7</v>
      </c>
      <c r="AK87">
        <v>155.5</v>
      </c>
      <c r="AM87">
        <v>122.3</v>
      </c>
      <c r="AO87">
        <v>123.5</v>
      </c>
      <c r="AQ87">
        <v>120.4</v>
      </c>
      <c r="AS87">
        <v>116.4</v>
      </c>
      <c r="AU87">
        <v>118.3</v>
      </c>
      <c r="AW87">
        <v>125.6</v>
      </c>
      <c r="AY87">
        <v>118.1</v>
      </c>
      <c r="BA87">
        <v>119.9</v>
      </c>
      <c r="BC87">
        <v>125.4</v>
      </c>
    </row>
    <row r="88" spans="3:55" x14ac:dyDescent="0.3">
      <c r="C88">
        <v>127.3</v>
      </c>
      <c r="E88">
        <v>134.19999999999999</v>
      </c>
      <c r="G88">
        <v>126.1</v>
      </c>
      <c r="I88">
        <v>129.6</v>
      </c>
      <c r="K88">
        <v>115.2</v>
      </c>
      <c r="M88">
        <v>130.80000000000001</v>
      </c>
      <c r="O88">
        <v>136.9</v>
      </c>
      <c r="Q88">
        <v>124.1</v>
      </c>
      <c r="S88">
        <v>106.2</v>
      </c>
      <c r="U88">
        <v>127.7</v>
      </c>
      <c r="W88">
        <v>123.3</v>
      </c>
      <c r="Y88">
        <v>132.1</v>
      </c>
      <c r="AA88">
        <v>131.19999999999999</v>
      </c>
      <c r="AC88">
        <v>131.5</v>
      </c>
      <c r="AE88">
        <v>127.6</v>
      </c>
      <c r="AG88">
        <v>122.3</v>
      </c>
      <c r="AI88">
        <v>125.8</v>
      </c>
      <c r="AK88">
        <v>155.6</v>
      </c>
      <c r="AM88">
        <v>122.4</v>
      </c>
      <c r="AO88">
        <v>123.6</v>
      </c>
      <c r="AQ88">
        <v>120.6</v>
      </c>
      <c r="AS88">
        <v>116.5</v>
      </c>
      <c r="AU88">
        <v>118.5</v>
      </c>
      <c r="AW88">
        <v>125.7</v>
      </c>
      <c r="AY88">
        <v>118.4</v>
      </c>
      <c r="BA88">
        <v>120</v>
      </c>
      <c r="BC88">
        <v>126</v>
      </c>
    </row>
    <row r="89" spans="3:55" x14ac:dyDescent="0.3">
      <c r="C89">
        <v>127.4</v>
      </c>
      <c r="E89">
        <v>134.30000000000001</v>
      </c>
      <c r="G89">
        <v>126.3</v>
      </c>
      <c r="I89">
        <v>129.69999999999999</v>
      </c>
      <c r="K89">
        <v>115.3</v>
      </c>
      <c r="M89">
        <v>130.9</v>
      </c>
      <c r="O89">
        <v>137.5</v>
      </c>
      <c r="Q89">
        <v>124.3</v>
      </c>
      <c r="S89">
        <v>106.4</v>
      </c>
      <c r="U89">
        <v>128.30000000000001</v>
      </c>
      <c r="W89">
        <v>123.4</v>
      </c>
      <c r="Y89">
        <v>132.30000000000001</v>
      </c>
      <c r="AA89">
        <v>131.30000000000001</v>
      </c>
      <c r="AC89">
        <v>132</v>
      </c>
      <c r="AE89">
        <v>127.9</v>
      </c>
      <c r="AG89">
        <v>122.5</v>
      </c>
      <c r="AI89">
        <v>126</v>
      </c>
      <c r="AK89">
        <v>156.30000000000001</v>
      </c>
      <c r="AM89">
        <v>122.6</v>
      </c>
      <c r="AO89">
        <v>123.7</v>
      </c>
      <c r="AQ89">
        <v>120.8</v>
      </c>
      <c r="AS89">
        <v>116.6</v>
      </c>
      <c r="AU89">
        <v>118.7</v>
      </c>
      <c r="AW89">
        <v>125.8</v>
      </c>
      <c r="AY89">
        <v>118.5</v>
      </c>
      <c r="BA89">
        <v>120.1</v>
      </c>
      <c r="BC89">
        <v>126.1</v>
      </c>
    </row>
    <row r="90" spans="3:55" x14ac:dyDescent="0.3">
      <c r="C90">
        <v>127.6</v>
      </c>
      <c r="E90">
        <v>134.4</v>
      </c>
      <c r="G90">
        <v>126.5</v>
      </c>
      <c r="I90">
        <v>129.80000000000001</v>
      </c>
      <c r="K90">
        <v>115.5</v>
      </c>
      <c r="M90">
        <v>131.1</v>
      </c>
      <c r="O90">
        <v>137.80000000000001</v>
      </c>
      <c r="Q90">
        <v>124.4</v>
      </c>
      <c r="S90">
        <v>106.8</v>
      </c>
      <c r="U90">
        <v>128.4</v>
      </c>
      <c r="W90">
        <v>123.6</v>
      </c>
      <c r="Y90">
        <v>132.5</v>
      </c>
      <c r="AA90">
        <v>131.4</v>
      </c>
      <c r="AC90">
        <v>132.1</v>
      </c>
      <c r="AE90">
        <v>128.30000000000001</v>
      </c>
      <c r="AG90">
        <v>122.7</v>
      </c>
      <c r="AI90">
        <v>126.1</v>
      </c>
      <c r="AK90">
        <v>156.5</v>
      </c>
      <c r="AM90">
        <v>122.7</v>
      </c>
      <c r="AO90">
        <v>123.9</v>
      </c>
      <c r="AQ90">
        <v>120.9</v>
      </c>
      <c r="AS90">
        <v>116.7</v>
      </c>
      <c r="AU90">
        <v>118.8</v>
      </c>
      <c r="AW90">
        <v>125.9</v>
      </c>
      <c r="AY90">
        <v>118.8</v>
      </c>
      <c r="BA90">
        <v>120.5</v>
      </c>
      <c r="BC90">
        <v>126.3</v>
      </c>
    </row>
    <row r="91" spans="3:55" x14ac:dyDescent="0.3">
      <c r="C91">
        <v>127.7</v>
      </c>
      <c r="E91">
        <v>135.1</v>
      </c>
      <c r="G91">
        <v>126.6</v>
      </c>
      <c r="I91">
        <v>129.9</v>
      </c>
      <c r="K91">
        <v>115.8</v>
      </c>
      <c r="M91">
        <v>131.19999999999999</v>
      </c>
      <c r="O91">
        <v>138</v>
      </c>
      <c r="Q91">
        <v>124.5</v>
      </c>
      <c r="S91">
        <v>107.5</v>
      </c>
      <c r="U91">
        <v>128.80000000000001</v>
      </c>
      <c r="W91">
        <v>123.8</v>
      </c>
      <c r="Y91">
        <v>132.69999999999999</v>
      </c>
      <c r="AA91">
        <v>131.5</v>
      </c>
      <c r="AC91">
        <v>132.19999999999999</v>
      </c>
      <c r="AE91">
        <v>128.4</v>
      </c>
      <c r="AG91">
        <v>122.8</v>
      </c>
      <c r="AI91">
        <v>126.2</v>
      </c>
      <c r="AK91">
        <v>157.69999999999999</v>
      </c>
      <c r="AM91">
        <v>123</v>
      </c>
      <c r="AO91">
        <v>124.2</v>
      </c>
      <c r="AQ91">
        <v>121.1</v>
      </c>
      <c r="AS91">
        <v>117</v>
      </c>
      <c r="AU91">
        <v>119.1</v>
      </c>
      <c r="AW91">
        <v>126.2</v>
      </c>
      <c r="AY91">
        <v>119.2</v>
      </c>
      <c r="BA91">
        <v>120.7</v>
      </c>
      <c r="BC91">
        <v>126.6</v>
      </c>
    </row>
    <row r="92" spans="3:55" x14ac:dyDescent="0.3">
      <c r="C92">
        <v>128.1</v>
      </c>
      <c r="E92">
        <v>135.4</v>
      </c>
      <c r="G92">
        <v>126.8</v>
      </c>
      <c r="I92">
        <v>130.19999999999999</v>
      </c>
      <c r="K92">
        <v>115.9</v>
      </c>
      <c r="M92">
        <v>131.4</v>
      </c>
      <c r="O92">
        <v>138.4</v>
      </c>
      <c r="Q92">
        <v>124.6</v>
      </c>
      <c r="S92">
        <v>108.3</v>
      </c>
      <c r="U92">
        <v>128.9</v>
      </c>
      <c r="W92">
        <v>124.2</v>
      </c>
      <c r="Y92">
        <v>132.9</v>
      </c>
      <c r="AA92">
        <v>131.80000000000001</v>
      </c>
      <c r="AC92">
        <v>132.5</v>
      </c>
      <c r="AE92">
        <v>128.5</v>
      </c>
      <c r="AG92">
        <v>122.9</v>
      </c>
      <c r="AI92">
        <v>126.6</v>
      </c>
      <c r="AK92">
        <v>158</v>
      </c>
      <c r="AM92">
        <v>123.1</v>
      </c>
      <c r="AO92">
        <v>124.3</v>
      </c>
      <c r="AQ92">
        <v>121.2</v>
      </c>
      <c r="AS92">
        <v>117.3</v>
      </c>
      <c r="AU92">
        <v>119.2</v>
      </c>
      <c r="AW92">
        <v>126.3</v>
      </c>
      <c r="AY92">
        <v>119.4</v>
      </c>
      <c r="BA92">
        <v>120.9</v>
      </c>
      <c r="BC92">
        <v>127</v>
      </c>
    </row>
    <row r="93" spans="3:55" x14ac:dyDescent="0.3">
      <c r="C93">
        <v>128.5</v>
      </c>
      <c r="E93">
        <v>135.9</v>
      </c>
      <c r="G93">
        <v>127</v>
      </c>
      <c r="I93">
        <v>130.30000000000001</v>
      </c>
      <c r="K93">
        <v>116.2</v>
      </c>
      <c r="M93">
        <v>131.6</v>
      </c>
      <c r="O93">
        <v>138.9</v>
      </c>
      <c r="Q93">
        <v>124.7</v>
      </c>
      <c r="S93">
        <v>108.4</v>
      </c>
      <c r="U93">
        <v>129.6</v>
      </c>
      <c r="W93">
        <v>124.3</v>
      </c>
      <c r="Y93">
        <v>133</v>
      </c>
      <c r="AA93">
        <v>132</v>
      </c>
      <c r="AC93">
        <v>133.1</v>
      </c>
      <c r="AE93">
        <v>128.69999999999999</v>
      </c>
      <c r="AG93">
        <v>123</v>
      </c>
      <c r="AI93">
        <v>126.8</v>
      </c>
      <c r="AK93">
        <v>158.4</v>
      </c>
      <c r="AM93">
        <v>123.3</v>
      </c>
      <c r="AO93">
        <v>124.5</v>
      </c>
      <c r="AQ93">
        <v>121.4</v>
      </c>
      <c r="AS93">
        <v>117.4</v>
      </c>
      <c r="AU93">
        <v>119.5</v>
      </c>
      <c r="AW93">
        <v>126.4</v>
      </c>
      <c r="AY93">
        <v>119.7</v>
      </c>
      <c r="BA93">
        <v>121.1</v>
      </c>
      <c r="BC93">
        <v>127.3</v>
      </c>
    </row>
    <row r="94" spans="3:55" x14ac:dyDescent="0.3">
      <c r="C94">
        <v>128.6</v>
      </c>
      <c r="E94">
        <v>136.30000000000001</v>
      </c>
      <c r="G94">
        <v>127.1</v>
      </c>
      <c r="I94">
        <v>130.4</v>
      </c>
      <c r="K94">
        <v>116.4</v>
      </c>
      <c r="M94">
        <v>131.69999999999999</v>
      </c>
      <c r="O94">
        <v>139.1</v>
      </c>
      <c r="Q94">
        <v>124.8</v>
      </c>
      <c r="S94">
        <v>108.7</v>
      </c>
      <c r="U94">
        <v>129.69999999999999</v>
      </c>
      <c r="W94">
        <v>124.4</v>
      </c>
      <c r="Y94">
        <v>133.1</v>
      </c>
      <c r="AA94">
        <v>132.1</v>
      </c>
      <c r="AC94">
        <v>133.6</v>
      </c>
      <c r="AE94">
        <v>128.80000000000001</v>
      </c>
      <c r="AG94">
        <v>123.2</v>
      </c>
      <c r="AI94">
        <v>126.9</v>
      </c>
      <c r="AK94">
        <v>159.80000000000001</v>
      </c>
      <c r="AM94">
        <v>123.4</v>
      </c>
      <c r="AO94">
        <v>124.6</v>
      </c>
      <c r="AQ94">
        <v>121.8</v>
      </c>
      <c r="AS94">
        <v>117.6</v>
      </c>
      <c r="AU94">
        <v>119.6</v>
      </c>
      <c r="AW94">
        <v>126.5</v>
      </c>
      <c r="AY94">
        <v>119.9</v>
      </c>
      <c r="BA94">
        <v>121.3</v>
      </c>
      <c r="BC94">
        <v>127.6</v>
      </c>
    </row>
    <row r="95" spans="3:55" x14ac:dyDescent="0.3">
      <c r="C95">
        <v>128.69999999999999</v>
      </c>
      <c r="E95">
        <v>136.80000000000001</v>
      </c>
      <c r="G95">
        <v>127.7</v>
      </c>
      <c r="I95">
        <v>130.5</v>
      </c>
      <c r="K95">
        <v>116.5</v>
      </c>
      <c r="M95">
        <v>132.1</v>
      </c>
      <c r="O95">
        <v>140</v>
      </c>
      <c r="Q95">
        <v>124.9</v>
      </c>
      <c r="S95">
        <v>108.8</v>
      </c>
      <c r="U95">
        <v>130.5</v>
      </c>
      <c r="W95">
        <v>124.6</v>
      </c>
      <c r="Y95">
        <v>133.69999999999999</v>
      </c>
      <c r="AA95">
        <v>132.4</v>
      </c>
      <c r="AC95">
        <v>134.19999999999999</v>
      </c>
      <c r="AE95">
        <v>129.1</v>
      </c>
      <c r="AG95">
        <v>123.3</v>
      </c>
      <c r="AI95">
        <v>127.2</v>
      </c>
      <c r="AK95">
        <v>159.9</v>
      </c>
      <c r="AM95">
        <v>123.6</v>
      </c>
      <c r="AO95">
        <v>124.7</v>
      </c>
      <c r="AQ95">
        <v>122</v>
      </c>
      <c r="AS95">
        <v>117.8</v>
      </c>
      <c r="AU95">
        <v>119.8</v>
      </c>
      <c r="AW95">
        <v>126.6</v>
      </c>
      <c r="AY95">
        <v>120</v>
      </c>
      <c r="BA95">
        <v>121.4</v>
      </c>
      <c r="BC95">
        <v>127.7</v>
      </c>
    </row>
    <row r="96" spans="3:55" x14ac:dyDescent="0.3">
      <c r="C96">
        <v>129.30000000000001</v>
      </c>
      <c r="E96">
        <v>137.30000000000001</v>
      </c>
      <c r="G96">
        <v>128</v>
      </c>
      <c r="I96">
        <v>130.69999999999999</v>
      </c>
      <c r="K96">
        <v>116.6</v>
      </c>
      <c r="M96">
        <v>132.30000000000001</v>
      </c>
      <c r="O96">
        <v>140.1</v>
      </c>
      <c r="Q96">
        <v>125.1</v>
      </c>
      <c r="S96">
        <v>109</v>
      </c>
      <c r="U96">
        <v>130.6</v>
      </c>
      <c r="W96">
        <v>124.8</v>
      </c>
      <c r="Y96">
        <v>134</v>
      </c>
      <c r="AA96">
        <v>132.6</v>
      </c>
      <c r="AC96">
        <v>134.4</v>
      </c>
      <c r="AE96">
        <v>129.30000000000001</v>
      </c>
      <c r="AG96">
        <v>123.4</v>
      </c>
      <c r="AI96">
        <v>127.3</v>
      </c>
      <c r="AK96">
        <v>160.5</v>
      </c>
      <c r="AM96">
        <v>123.7</v>
      </c>
      <c r="AO96">
        <v>125</v>
      </c>
      <c r="AQ96">
        <v>122.1</v>
      </c>
      <c r="AS96">
        <v>118.2</v>
      </c>
      <c r="AU96">
        <v>119.9</v>
      </c>
      <c r="AW96">
        <v>126.9</v>
      </c>
      <c r="AY96">
        <v>120.5</v>
      </c>
      <c r="BA96">
        <v>121.5</v>
      </c>
      <c r="BC96">
        <v>127.8</v>
      </c>
    </row>
    <row r="97" spans="3:55" x14ac:dyDescent="0.3">
      <c r="C97">
        <v>129.9</v>
      </c>
      <c r="E97">
        <v>137.4</v>
      </c>
      <c r="G97">
        <v>128.1</v>
      </c>
      <c r="I97">
        <v>130.9</v>
      </c>
      <c r="K97">
        <v>116.7</v>
      </c>
      <c r="M97">
        <v>132.5</v>
      </c>
      <c r="O97">
        <v>140.30000000000001</v>
      </c>
      <c r="Q97">
        <v>125.4</v>
      </c>
      <c r="S97">
        <v>109.1</v>
      </c>
      <c r="U97">
        <v>130.80000000000001</v>
      </c>
      <c r="W97">
        <v>124.9</v>
      </c>
      <c r="Y97">
        <v>134.19999999999999</v>
      </c>
      <c r="AA97">
        <v>132.69999999999999</v>
      </c>
      <c r="AC97">
        <v>134.5</v>
      </c>
      <c r="AE97">
        <v>129.5</v>
      </c>
      <c r="AG97">
        <v>123.7</v>
      </c>
      <c r="AI97">
        <v>127.7</v>
      </c>
      <c r="AK97">
        <v>161.4</v>
      </c>
      <c r="AM97">
        <v>123.8</v>
      </c>
      <c r="AO97">
        <v>125.1</v>
      </c>
      <c r="AQ97">
        <v>122.3</v>
      </c>
      <c r="AS97">
        <v>118.3</v>
      </c>
      <c r="AU97">
        <v>120.1</v>
      </c>
      <c r="AW97">
        <v>127.1</v>
      </c>
      <c r="AY97">
        <v>120.8</v>
      </c>
      <c r="BA97">
        <v>121.7</v>
      </c>
      <c r="BC97">
        <v>127.9</v>
      </c>
    </row>
    <row r="98" spans="3:55" x14ac:dyDescent="0.3">
      <c r="C98">
        <v>130.1</v>
      </c>
      <c r="E98">
        <v>137.5</v>
      </c>
      <c r="G98">
        <v>128.30000000000001</v>
      </c>
      <c r="I98">
        <v>131</v>
      </c>
      <c r="K98">
        <v>116.9</v>
      </c>
      <c r="M98">
        <v>132.6</v>
      </c>
      <c r="O98">
        <v>140.5</v>
      </c>
      <c r="Q98">
        <v>125.8</v>
      </c>
      <c r="S98">
        <v>109.3</v>
      </c>
      <c r="U98">
        <v>131.19999999999999</v>
      </c>
      <c r="W98">
        <v>125</v>
      </c>
      <c r="Y98">
        <v>134.69999999999999</v>
      </c>
      <c r="AA98">
        <v>132.80000000000001</v>
      </c>
      <c r="AC98">
        <v>134.69999999999999</v>
      </c>
      <c r="AE98">
        <v>129.6</v>
      </c>
      <c r="AG98">
        <v>123.8</v>
      </c>
      <c r="AI98">
        <v>127.8</v>
      </c>
      <c r="AK98">
        <v>161.5</v>
      </c>
      <c r="AM98">
        <v>124.1</v>
      </c>
      <c r="AO98">
        <v>125.3</v>
      </c>
      <c r="AQ98">
        <v>122.5</v>
      </c>
      <c r="AS98">
        <v>118.5</v>
      </c>
      <c r="AU98">
        <v>120.3</v>
      </c>
      <c r="AW98">
        <v>127.5</v>
      </c>
      <c r="AY98">
        <v>120.9</v>
      </c>
      <c r="BA98">
        <v>121.9</v>
      </c>
      <c r="BC98">
        <v>128</v>
      </c>
    </row>
    <row r="99" spans="3:55" x14ac:dyDescent="0.3">
      <c r="C99">
        <v>130.19999999999999</v>
      </c>
      <c r="E99">
        <v>137.6</v>
      </c>
      <c r="G99">
        <v>128.4</v>
      </c>
      <c r="I99">
        <v>131.30000000000001</v>
      </c>
      <c r="K99">
        <v>117.2</v>
      </c>
      <c r="M99">
        <v>132.69999999999999</v>
      </c>
      <c r="O99">
        <v>140.6</v>
      </c>
      <c r="Q99">
        <v>126</v>
      </c>
      <c r="S99">
        <v>109.6</v>
      </c>
      <c r="U99">
        <v>131.4</v>
      </c>
      <c r="W99">
        <v>125.1</v>
      </c>
      <c r="Y99">
        <v>135.1</v>
      </c>
      <c r="AA99">
        <v>133</v>
      </c>
      <c r="AC99">
        <v>135</v>
      </c>
      <c r="AE99">
        <v>129.69999999999999</v>
      </c>
      <c r="AG99">
        <v>124.1</v>
      </c>
      <c r="AI99">
        <v>128</v>
      </c>
      <c r="AK99">
        <v>161.6</v>
      </c>
      <c r="AM99">
        <v>124.3</v>
      </c>
      <c r="AO99">
        <v>125.5</v>
      </c>
      <c r="AQ99">
        <v>122.6</v>
      </c>
      <c r="AS99">
        <v>118.6</v>
      </c>
      <c r="AU99">
        <v>120.6</v>
      </c>
      <c r="AW99">
        <v>127.6</v>
      </c>
      <c r="AY99">
        <v>121.1</v>
      </c>
      <c r="BA99">
        <v>122.1</v>
      </c>
      <c r="BC99">
        <v>128.1</v>
      </c>
    </row>
    <row r="100" spans="3:55" x14ac:dyDescent="0.3">
      <c r="C100">
        <v>130.5</v>
      </c>
      <c r="E100">
        <v>137.69999999999999</v>
      </c>
      <c r="G100">
        <v>128.5</v>
      </c>
      <c r="I100">
        <v>131.69999999999999</v>
      </c>
      <c r="K100">
        <v>117.4</v>
      </c>
      <c r="M100">
        <v>132.80000000000001</v>
      </c>
      <c r="O100">
        <v>140.80000000000001</v>
      </c>
      <c r="Q100">
        <v>126.4</v>
      </c>
      <c r="S100">
        <v>109.9</v>
      </c>
      <c r="U100">
        <v>131.5</v>
      </c>
      <c r="W100">
        <v>125.4</v>
      </c>
      <c r="Y100">
        <v>135.19999999999999</v>
      </c>
      <c r="AA100">
        <v>133.1</v>
      </c>
      <c r="AC100">
        <v>135.19999999999999</v>
      </c>
      <c r="AE100">
        <v>130</v>
      </c>
      <c r="AG100">
        <v>124.3</v>
      </c>
      <c r="AI100">
        <v>128.30000000000001</v>
      </c>
      <c r="AK100">
        <v>162.1</v>
      </c>
      <c r="AM100">
        <v>124.4</v>
      </c>
      <c r="AO100">
        <v>125.6</v>
      </c>
      <c r="AQ100">
        <v>122.9</v>
      </c>
      <c r="AS100">
        <v>118.8</v>
      </c>
      <c r="AU100">
        <v>120.8</v>
      </c>
      <c r="AW100">
        <v>127.7</v>
      </c>
      <c r="AY100">
        <v>121.2</v>
      </c>
      <c r="BA100">
        <v>122.4</v>
      </c>
      <c r="BC100">
        <v>128.19999999999999</v>
      </c>
    </row>
    <row r="101" spans="3:55" x14ac:dyDescent="0.3">
      <c r="C101">
        <v>130.80000000000001</v>
      </c>
      <c r="E101">
        <v>137.80000000000001</v>
      </c>
      <c r="G101">
        <v>128.6</v>
      </c>
      <c r="I101">
        <v>131.80000000000001</v>
      </c>
      <c r="K101">
        <v>117.8</v>
      </c>
      <c r="M101">
        <v>133</v>
      </c>
      <c r="O101">
        <v>140.9</v>
      </c>
      <c r="Q101">
        <v>126.8</v>
      </c>
      <c r="S101">
        <v>110.3</v>
      </c>
      <c r="U101">
        <v>132.1</v>
      </c>
      <c r="W101">
        <v>125.5</v>
      </c>
      <c r="Y101">
        <v>135.30000000000001</v>
      </c>
      <c r="AA101">
        <v>133.30000000000001</v>
      </c>
      <c r="AC101">
        <v>135.30000000000001</v>
      </c>
      <c r="AE101">
        <v>130.19999999999999</v>
      </c>
      <c r="AG101">
        <v>124.5</v>
      </c>
      <c r="AI101">
        <v>128.5</v>
      </c>
      <c r="AK101">
        <v>163.4</v>
      </c>
      <c r="AM101">
        <v>124.6</v>
      </c>
      <c r="AO101">
        <v>126</v>
      </c>
      <c r="AQ101">
        <v>123.1</v>
      </c>
      <c r="AS101">
        <v>118.9</v>
      </c>
      <c r="AU101">
        <v>120.9</v>
      </c>
      <c r="AW101">
        <v>127.9</v>
      </c>
      <c r="AY101">
        <v>121.3</v>
      </c>
      <c r="BA101">
        <v>122.5</v>
      </c>
      <c r="BC101">
        <v>128.30000000000001</v>
      </c>
    </row>
    <row r="102" spans="3:55" x14ac:dyDescent="0.3">
      <c r="C102">
        <v>131.30000000000001</v>
      </c>
      <c r="E102">
        <v>137.9</v>
      </c>
      <c r="G102">
        <v>128.69999999999999</v>
      </c>
      <c r="I102">
        <v>132.19999999999999</v>
      </c>
      <c r="K102">
        <v>118</v>
      </c>
      <c r="M102">
        <v>133.1</v>
      </c>
      <c r="O102">
        <v>141</v>
      </c>
      <c r="Q102">
        <v>127.2</v>
      </c>
      <c r="S102">
        <v>110.4</v>
      </c>
      <c r="U102">
        <v>132.19999999999999</v>
      </c>
      <c r="W102">
        <v>125.7</v>
      </c>
      <c r="Y102">
        <v>135.4</v>
      </c>
      <c r="AA102">
        <v>133.4</v>
      </c>
      <c r="AC102">
        <v>135.5</v>
      </c>
      <c r="AE102">
        <v>130.30000000000001</v>
      </c>
      <c r="AG102">
        <v>124.6</v>
      </c>
      <c r="AI102">
        <v>128.6</v>
      </c>
      <c r="AK102">
        <v>163.6</v>
      </c>
      <c r="AM102">
        <v>124.7</v>
      </c>
      <c r="AO102">
        <v>126.4</v>
      </c>
      <c r="AQ102">
        <v>123.2</v>
      </c>
      <c r="AS102">
        <v>119.1</v>
      </c>
      <c r="AU102">
        <v>121.1</v>
      </c>
      <c r="AW102">
        <v>128</v>
      </c>
      <c r="AY102">
        <v>121.5</v>
      </c>
      <c r="BA102">
        <v>122.6</v>
      </c>
      <c r="BC102">
        <v>128.4</v>
      </c>
    </row>
    <row r="103" spans="3:55" x14ac:dyDescent="0.3">
      <c r="C103">
        <v>131.4</v>
      </c>
      <c r="E103">
        <v>138</v>
      </c>
      <c r="G103">
        <v>128.80000000000001</v>
      </c>
      <c r="I103">
        <v>132.4</v>
      </c>
      <c r="K103">
        <v>118.1</v>
      </c>
      <c r="M103">
        <v>133.19999999999999</v>
      </c>
      <c r="O103">
        <v>141.19999999999999</v>
      </c>
      <c r="Q103">
        <v>127.3</v>
      </c>
      <c r="S103">
        <v>110.6</v>
      </c>
      <c r="U103">
        <v>132.69999999999999</v>
      </c>
      <c r="W103">
        <v>125.9</v>
      </c>
      <c r="Y103">
        <v>135.80000000000001</v>
      </c>
      <c r="AA103">
        <v>133.5</v>
      </c>
      <c r="AC103">
        <v>135.9</v>
      </c>
      <c r="AE103">
        <v>130.4</v>
      </c>
      <c r="AG103">
        <v>124.8</v>
      </c>
      <c r="AI103">
        <v>128.80000000000001</v>
      </c>
      <c r="AK103">
        <v>164.2</v>
      </c>
      <c r="AM103">
        <v>125</v>
      </c>
      <c r="AO103">
        <v>126.5</v>
      </c>
      <c r="AQ103">
        <v>123.4</v>
      </c>
      <c r="AS103">
        <v>119.2</v>
      </c>
      <c r="AU103">
        <v>121.2</v>
      </c>
      <c r="AW103">
        <v>128.5</v>
      </c>
      <c r="AY103">
        <v>121.7</v>
      </c>
      <c r="BA103">
        <v>122.7</v>
      </c>
      <c r="BC103">
        <v>128.5</v>
      </c>
    </row>
    <row r="104" spans="3:55" x14ac:dyDescent="0.3">
      <c r="C104">
        <v>131.6</v>
      </c>
      <c r="E104">
        <v>138.19999999999999</v>
      </c>
      <c r="G104">
        <v>129.30000000000001</v>
      </c>
      <c r="I104">
        <v>132.6</v>
      </c>
      <c r="K104">
        <v>118.2</v>
      </c>
      <c r="M104">
        <v>133.30000000000001</v>
      </c>
      <c r="O104">
        <v>141.5</v>
      </c>
      <c r="Q104">
        <v>127.4</v>
      </c>
      <c r="S104">
        <v>110.8</v>
      </c>
      <c r="U104">
        <v>132.9</v>
      </c>
      <c r="W104">
        <v>126</v>
      </c>
      <c r="Y104">
        <v>135.9</v>
      </c>
      <c r="AA104">
        <v>133.6</v>
      </c>
      <c r="AC104">
        <v>136</v>
      </c>
      <c r="AE104">
        <v>130.5</v>
      </c>
      <c r="AG104">
        <v>124.9</v>
      </c>
      <c r="AI104">
        <v>129</v>
      </c>
      <c r="AK104">
        <v>164.5</v>
      </c>
      <c r="AM104">
        <v>125.5</v>
      </c>
      <c r="AO104">
        <v>126.6</v>
      </c>
      <c r="AQ104">
        <v>123.6</v>
      </c>
      <c r="AS104">
        <v>119.3</v>
      </c>
      <c r="AU104">
        <v>121.4</v>
      </c>
      <c r="AW104">
        <v>129.1</v>
      </c>
      <c r="AY104">
        <v>121.9</v>
      </c>
      <c r="BA104">
        <v>122.8</v>
      </c>
      <c r="BC104">
        <v>128.6</v>
      </c>
    </row>
    <row r="105" spans="3:55" x14ac:dyDescent="0.3">
      <c r="C105">
        <v>132</v>
      </c>
      <c r="E105">
        <v>138.30000000000001</v>
      </c>
      <c r="G105">
        <v>129.4</v>
      </c>
      <c r="I105">
        <v>132.69999999999999</v>
      </c>
      <c r="K105">
        <v>118.3</v>
      </c>
      <c r="M105">
        <v>133.5</v>
      </c>
      <c r="O105">
        <v>141.80000000000001</v>
      </c>
      <c r="Q105">
        <v>128.19999999999999</v>
      </c>
      <c r="S105">
        <v>111</v>
      </c>
      <c r="U105">
        <v>133.1</v>
      </c>
      <c r="W105">
        <v>126.1</v>
      </c>
      <c r="Y105">
        <v>136.30000000000001</v>
      </c>
      <c r="AA105">
        <v>133.69999999999999</v>
      </c>
      <c r="AC105">
        <v>136.5</v>
      </c>
      <c r="AE105">
        <v>130.80000000000001</v>
      </c>
      <c r="AG105">
        <v>125.1</v>
      </c>
      <c r="AI105">
        <v>129.30000000000001</v>
      </c>
      <c r="AK105">
        <v>165.3</v>
      </c>
      <c r="AM105">
        <v>125.6</v>
      </c>
      <c r="AO105">
        <v>126.8</v>
      </c>
      <c r="AQ105">
        <v>123.7</v>
      </c>
      <c r="AS105">
        <v>119.4</v>
      </c>
      <c r="AU105">
        <v>121.5</v>
      </c>
      <c r="AW105">
        <v>129.30000000000001</v>
      </c>
      <c r="AY105">
        <v>122</v>
      </c>
      <c r="BA105">
        <v>123</v>
      </c>
      <c r="BC105">
        <v>128.69999999999999</v>
      </c>
    </row>
    <row r="106" spans="3:55" x14ac:dyDescent="0.3">
      <c r="C106">
        <v>132.19999999999999</v>
      </c>
      <c r="E106">
        <v>138.4</v>
      </c>
      <c r="G106">
        <v>129.6</v>
      </c>
      <c r="I106">
        <v>132.9</v>
      </c>
      <c r="K106">
        <v>118.4</v>
      </c>
      <c r="M106">
        <v>133.69999999999999</v>
      </c>
      <c r="O106">
        <v>141.9</v>
      </c>
      <c r="Q106">
        <v>128.30000000000001</v>
      </c>
      <c r="S106">
        <v>111.1</v>
      </c>
      <c r="U106">
        <v>133.5</v>
      </c>
      <c r="W106">
        <v>126.2</v>
      </c>
      <c r="Y106">
        <v>136.4</v>
      </c>
      <c r="AA106">
        <v>133.80000000000001</v>
      </c>
      <c r="AC106">
        <v>137.1</v>
      </c>
      <c r="AE106">
        <v>130.9</v>
      </c>
      <c r="AG106">
        <v>125.4</v>
      </c>
      <c r="AI106">
        <v>129.5</v>
      </c>
      <c r="AK106">
        <v>165.5</v>
      </c>
      <c r="AM106">
        <v>125.7</v>
      </c>
      <c r="AO106">
        <v>126.9</v>
      </c>
      <c r="AQ106">
        <v>123.8</v>
      </c>
      <c r="AS106">
        <v>119.5</v>
      </c>
      <c r="AU106">
        <v>121.6</v>
      </c>
      <c r="AW106">
        <v>129.69999999999999</v>
      </c>
      <c r="AY106">
        <v>122.1</v>
      </c>
      <c r="BA106">
        <v>123.3</v>
      </c>
      <c r="BC106">
        <v>129</v>
      </c>
    </row>
    <row r="107" spans="3:55" x14ac:dyDescent="0.3">
      <c r="C107">
        <v>132.30000000000001</v>
      </c>
      <c r="E107">
        <v>138.5</v>
      </c>
      <c r="G107">
        <v>129.69999999999999</v>
      </c>
      <c r="I107">
        <v>133.1</v>
      </c>
      <c r="K107">
        <v>118.5</v>
      </c>
      <c r="M107">
        <v>133.80000000000001</v>
      </c>
      <c r="O107">
        <v>142</v>
      </c>
      <c r="Q107">
        <v>128.4</v>
      </c>
      <c r="S107">
        <v>111.2</v>
      </c>
      <c r="U107">
        <v>133.6</v>
      </c>
      <c r="W107">
        <v>126.4</v>
      </c>
      <c r="Y107">
        <v>136.69999999999999</v>
      </c>
      <c r="AA107">
        <v>134</v>
      </c>
      <c r="AC107">
        <v>137.19999999999999</v>
      </c>
      <c r="AE107">
        <v>131.1</v>
      </c>
      <c r="AG107">
        <v>125.5</v>
      </c>
      <c r="AI107">
        <v>129.6</v>
      </c>
      <c r="AK107">
        <v>166.8</v>
      </c>
      <c r="AM107">
        <v>126.2</v>
      </c>
      <c r="AO107">
        <v>127.1</v>
      </c>
      <c r="AQ107">
        <v>124.1</v>
      </c>
      <c r="AS107">
        <v>119.6</v>
      </c>
      <c r="AU107">
        <v>121.7</v>
      </c>
      <c r="AW107">
        <v>130.19999999999999</v>
      </c>
      <c r="AY107">
        <v>122.2</v>
      </c>
      <c r="BA107">
        <v>123.4</v>
      </c>
      <c r="BC107">
        <v>129.1</v>
      </c>
    </row>
    <row r="108" spans="3:55" x14ac:dyDescent="0.3">
      <c r="C108">
        <v>132.6</v>
      </c>
      <c r="E108">
        <v>138.6</v>
      </c>
      <c r="G108">
        <v>129.80000000000001</v>
      </c>
      <c r="I108">
        <v>133.5</v>
      </c>
      <c r="K108">
        <v>118.6</v>
      </c>
      <c r="M108">
        <v>134.1</v>
      </c>
      <c r="O108">
        <v>142.19999999999999</v>
      </c>
      <c r="Q108">
        <v>128.69999999999999</v>
      </c>
      <c r="S108">
        <v>111.3</v>
      </c>
      <c r="U108">
        <v>133.9</v>
      </c>
      <c r="W108">
        <v>126.5</v>
      </c>
      <c r="Y108">
        <v>136.9</v>
      </c>
      <c r="AA108">
        <v>134.6</v>
      </c>
      <c r="AC108">
        <v>137.6</v>
      </c>
      <c r="AE108">
        <v>131.19999999999999</v>
      </c>
      <c r="AG108">
        <v>125.6</v>
      </c>
      <c r="AI108">
        <v>129.9</v>
      </c>
      <c r="AK108">
        <v>167</v>
      </c>
      <c r="AM108">
        <v>126.4</v>
      </c>
      <c r="AO108">
        <v>127.2</v>
      </c>
      <c r="AQ108">
        <v>124.3</v>
      </c>
      <c r="AS108">
        <v>119.8</v>
      </c>
      <c r="AU108">
        <v>121.8</v>
      </c>
      <c r="AW108">
        <v>130.80000000000001</v>
      </c>
      <c r="AY108">
        <v>122.3</v>
      </c>
      <c r="BA108">
        <v>123.8</v>
      </c>
      <c r="BC108">
        <v>129.30000000000001</v>
      </c>
    </row>
    <row r="109" spans="3:55" x14ac:dyDescent="0.3">
      <c r="C109">
        <v>132.69999999999999</v>
      </c>
      <c r="E109">
        <v>138.69999999999999</v>
      </c>
      <c r="G109">
        <v>129.9</v>
      </c>
      <c r="I109">
        <v>133.6</v>
      </c>
      <c r="K109">
        <v>118.8</v>
      </c>
      <c r="M109">
        <v>134.19999999999999</v>
      </c>
      <c r="O109">
        <v>142.4</v>
      </c>
      <c r="Q109">
        <v>128.9</v>
      </c>
      <c r="S109">
        <v>111.6</v>
      </c>
      <c r="U109">
        <v>134</v>
      </c>
      <c r="W109">
        <v>126.6</v>
      </c>
      <c r="Y109">
        <v>137</v>
      </c>
      <c r="AA109">
        <v>134.69999999999999</v>
      </c>
      <c r="AC109">
        <v>137.69999999999999</v>
      </c>
      <c r="AE109">
        <v>131.30000000000001</v>
      </c>
      <c r="AG109">
        <v>125.8</v>
      </c>
      <c r="AI109">
        <v>130</v>
      </c>
      <c r="AK109">
        <v>167.5</v>
      </c>
      <c r="AM109">
        <v>126.5</v>
      </c>
      <c r="AO109">
        <v>127.4</v>
      </c>
      <c r="AQ109">
        <v>124.5</v>
      </c>
      <c r="AS109">
        <v>119.9</v>
      </c>
      <c r="AU109">
        <v>122</v>
      </c>
      <c r="AW109">
        <v>131.5</v>
      </c>
      <c r="AY109">
        <v>122.4</v>
      </c>
      <c r="BA109">
        <v>123.9</v>
      </c>
      <c r="BC109">
        <v>129.9</v>
      </c>
    </row>
    <row r="110" spans="3:55" x14ac:dyDescent="0.3">
      <c r="C110">
        <v>132.80000000000001</v>
      </c>
      <c r="E110">
        <v>138.80000000000001</v>
      </c>
      <c r="G110">
        <v>130</v>
      </c>
      <c r="I110">
        <v>134.1</v>
      </c>
      <c r="K110">
        <v>118.9</v>
      </c>
      <c r="M110">
        <v>134.69999999999999</v>
      </c>
      <c r="O110">
        <v>142.80000000000001</v>
      </c>
      <c r="Q110">
        <v>129.1</v>
      </c>
      <c r="S110">
        <v>111.7</v>
      </c>
      <c r="U110">
        <v>134.1</v>
      </c>
      <c r="W110">
        <v>126.7</v>
      </c>
      <c r="Y110">
        <v>137.4</v>
      </c>
      <c r="AA110">
        <v>134.80000000000001</v>
      </c>
      <c r="AC110">
        <v>138</v>
      </c>
      <c r="AE110">
        <v>131.5</v>
      </c>
      <c r="AG110">
        <v>125.9</v>
      </c>
      <c r="AI110">
        <v>130.19999999999999</v>
      </c>
      <c r="AK110">
        <v>167.8</v>
      </c>
      <c r="AM110">
        <v>126.6</v>
      </c>
      <c r="AO110">
        <v>127.7</v>
      </c>
      <c r="AQ110">
        <v>124.8</v>
      </c>
      <c r="AS110">
        <v>120.1</v>
      </c>
      <c r="AU110">
        <v>122.2</v>
      </c>
      <c r="AW110">
        <v>131.6</v>
      </c>
      <c r="AY110">
        <v>122.5</v>
      </c>
      <c r="BA110">
        <v>124.2</v>
      </c>
      <c r="BC110">
        <v>130.1</v>
      </c>
    </row>
    <row r="111" spans="3:55" x14ac:dyDescent="0.3">
      <c r="C111">
        <v>132.9</v>
      </c>
      <c r="E111">
        <v>138.9</v>
      </c>
      <c r="G111">
        <v>130.1</v>
      </c>
      <c r="I111">
        <v>134.4</v>
      </c>
      <c r="K111">
        <v>119</v>
      </c>
      <c r="M111">
        <v>134.80000000000001</v>
      </c>
      <c r="O111">
        <v>142.9</v>
      </c>
      <c r="Q111">
        <v>129.30000000000001</v>
      </c>
      <c r="S111">
        <v>111.8</v>
      </c>
      <c r="U111">
        <v>134.30000000000001</v>
      </c>
      <c r="W111">
        <v>126.8</v>
      </c>
      <c r="Y111">
        <v>137.5</v>
      </c>
      <c r="AA111">
        <v>134.9</v>
      </c>
      <c r="AC111">
        <v>138.19999999999999</v>
      </c>
      <c r="AE111">
        <v>131.6</v>
      </c>
      <c r="AG111">
        <v>126.1</v>
      </c>
      <c r="AI111">
        <v>130.4</v>
      </c>
      <c r="AK111">
        <v>169</v>
      </c>
      <c r="AM111">
        <v>126.8</v>
      </c>
      <c r="AO111">
        <v>127.9</v>
      </c>
      <c r="AQ111">
        <v>125</v>
      </c>
      <c r="AS111">
        <v>120.2</v>
      </c>
      <c r="AU111">
        <v>122.3</v>
      </c>
      <c r="AW111">
        <v>131.69999999999999</v>
      </c>
      <c r="AY111">
        <v>122.6</v>
      </c>
      <c r="BA111">
        <v>124.4</v>
      </c>
      <c r="BC111">
        <v>130.30000000000001</v>
      </c>
    </row>
    <row r="112" spans="3:55" x14ac:dyDescent="0.3">
      <c r="C112">
        <v>133</v>
      </c>
      <c r="E112">
        <v>139</v>
      </c>
      <c r="G112">
        <v>130.19999999999999</v>
      </c>
      <c r="I112">
        <v>134.5</v>
      </c>
      <c r="K112">
        <v>119.1</v>
      </c>
      <c r="M112">
        <v>135</v>
      </c>
      <c r="O112">
        <v>143</v>
      </c>
      <c r="Q112">
        <v>129.80000000000001</v>
      </c>
      <c r="S112">
        <v>111.9</v>
      </c>
      <c r="U112">
        <v>134.4</v>
      </c>
      <c r="W112">
        <v>126.9</v>
      </c>
      <c r="Y112">
        <v>138.1</v>
      </c>
      <c r="AA112">
        <v>135.19999999999999</v>
      </c>
      <c r="AC112">
        <v>138.69999999999999</v>
      </c>
      <c r="AE112">
        <v>131.80000000000001</v>
      </c>
      <c r="AG112">
        <v>126.3</v>
      </c>
      <c r="AI112">
        <v>130.5</v>
      </c>
      <c r="AK112">
        <v>169.5</v>
      </c>
      <c r="AM112">
        <v>127</v>
      </c>
      <c r="AO112">
        <v>128</v>
      </c>
      <c r="AQ112">
        <v>125.2</v>
      </c>
      <c r="AS112">
        <v>120.3</v>
      </c>
      <c r="AU112">
        <v>122.4</v>
      </c>
      <c r="AW112">
        <v>131.80000000000001</v>
      </c>
      <c r="AY112">
        <v>122.8</v>
      </c>
      <c r="BA112">
        <v>124.5</v>
      </c>
      <c r="BC112">
        <v>130.4</v>
      </c>
    </row>
    <row r="113" spans="3:55" x14ac:dyDescent="0.3">
      <c r="C113">
        <v>133.1</v>
      </c>
      <c r="E113">
        <v>139.1</v>
      </c>
      <c r="G113">
        <v>130.30000000000001</v>
      </c>
      <c r="I113">
        <v>134.80000000000001</v>
      </c>
      <c r="K113">
        <v>119.2</v>
      </c>
      <c r="M113">
        <v>135.19999999999999</v>
      </c>
      <c r="O113">
        <v>143.5</v>
      </c>
      <c r="Q113">
        <v>130</v>
      </c>
      <c r="S113">
        <v>112</v>
      </c>
      <c r="U113">
        <v>134.69999999999999</v>
      </c>
      <c r="W113">
        <v>127.2</v>
      </c>
      <c r="Y113">
        <v>138.30000000000001</v>
      </c>
      <c r="AA113">
        <v>135.6</v>
      </c>
      <c r="AC113">
        <v>138.9</v>
      </c>
      <c r="AE113">
        <v>132.1</v>
      </c>
      <c r="AG113">
        <v>126.4</v>
      </c>
      <c r="AI113">
        <v>130.6</v>
      </c>
      <c r="AK113">
        <v>170.7</v>
      </c>
      <c r="AM113">
        <v>127.1</v>
      </c>
      <c r="AO113">
        <v>128.1</v>
      </c>
      <c r="AQ113">
        <v>125.4</v>
      </c>
      <c r="AS113">
        <v>120.4</v>
      </c>
      <c r="AU113">
        <v>122.5</v>
      </c>
      <c r="AW113">
        <v>131.9</v>
      </c>
      <c r="AY113">
        <v>123</v>
      </c>
      <c r="BA113">
        <v>124.8</v>
      </c>
      <c r="BC113">
        <v>130.6</v>
      </c>
    </row>
    <row r="114" spans="3:55" x14ac:dyDescent="0.3">
      <c r="C114">
        <v>133.19999999999999</v>
      </c>
      <c r="E114">
        <v>139.30000000000001</v>
      </c>
      <c r="G114">
        <v>130.5</v>
      </c>
      <c r="I114">
        <v>134.9</v>
      </c>
      <c r="K114">
        <v>119.3</v>
      </c>
      <c r="M114">
        <v>135.30000000000001</v>
      </c>
      <c r="O114">
        <v>143.6</v>
      </c>
      <c r="Q114">
        <v>130.19999999999999</v>
      </c>
      <c r="S114">
        <v>112.1</v>
      </c>
      <c r="U114">
        <v>134.9</v>
      </c>
      <c r="W114">
        <v>127.3</v>
      </c>
      <c r="Y114">
        <v>138.80000000000001</v>
      </c>
      <c r="AA114">
        <v>135.69999999999999</v>
      </c>
      <c r="AC114">
        <v>139.30000000000001</v>
      </c>
      <c r="AE114">
        <v>132.19999999999999</v>
      </c>
      <c r="AG114">
        <v>126.7</v>
      </c>
      <c r="AI114">
        <v>131</v>
      </c>
      <c r="AK114">
        <v>171.2</v>
      </c>
      <c r="AM114">
        <v>127.3</v>
      </c>
      <c r="AO114">
        <v>128.30000000000001</v>
      </c>
      <c r="AQ114">
        <v>125.7</v>
      </c>
      <c r="AS114">
        <v>120.6</v>
      </c>
      <c r="AU114">
        <v>122.6</v>
      </c>
      <c r="AW114">
        <v>132.1</v>
      </c>
      <c r="AY114">
        <v>123.1</v>
      </c>
      <c r="BA114">
        <v>124.9</v>
      </c>
      <c r="BC114">
        <v>130.9</v>
      </c>
    </row>
    <row r="115" spans="3:55" x14ac:dyDescent="0.3">
      <c r="C115">
        <v>133.30000000000001</v>
      </c>
      <c r="E115">
        <v>139.4</v>
      </c>
      <c r="G115">
        <v>130.6</v>
      </c>
      <c r="I115">
        <v>135</v>
      </c>
      <c r="K115">
        <v>119.5</v>
      </c>
      <c r="M115">
        <v>135.4</v>
      </c>
      <c r="O115">
        <v>143.69999999999999</v>
      </c>
      <c r="Q115">
        <v>130.30000000000001</v>
      </c>
      <c r="S115">
        <v>112.2</v>
      </c>
      <c r="U115">
        <v>135.19999999999999</v>
      </c>
      <c r="W115">
        <v>127.4</v>
      </c>
      <c r="Y115">
        <v>139.19999999999999</v>
      </c>
      <c r="AA115">
        <v>136</v>
      </c>
      <c r="AC115">
        <v>139.5</v>
      </c>
      <c r="AE115">
        <v>132.5</v>
      </c>
      <c r="AG115">
        <v>126.8</v>
      </c>
      <c r="AI115">
        <v>131.4</v>
      </c>
      <c r="AK115">
        <v>171.8</v>
      </c>
      <c r="AM115">
        <v>127.4</v>
      </c>
      <c r="AO115">
        <v>128.4</v>
      </c>
      <c r="AQ115">
        <v>125.8</v>
      </c>
      <c r="AS115">
        <v>120.7</v>
      </c>
      <c r="AU115">
        <v>122.7</v>
      </c>
      <c r="AW115">
        <v>132.19999999999999</v>
      </c>
      <c r="AY115">
        <v>123.2</v>
      </c>
      <c r="BA115">
        <v>125.1</v>
      </c>
      <c r="BC115">
        <v>131.1</v>
      </c>
    </row>
    <row r="116" spans="3:55" x14ac:dyDescent="0.3">
      <c r="C116">
        <v>133.5</v>
      </c>
      <c r="E116">
        <v>139.5</v>
      </c>
      <c r="G116">
        <v>130.80000000000001</v>
      </c>
      <c r="I116">
        <v>135.1</v>
      </c>
      <c r="K116">
        <v>119.9</v>
      </c>
      <c r="M116">
        <v>135.5</v>
      </c>
      <c r="O116">
        <v>144</v>
      </c>
      <c r="Q116">
        <v>130.5</v>
      </c>
      <c r="S116">
        <v>112.3</v>
      </c>
      <c r="U116">
        <v>135.30000000000001</v>
      </c>
      <c r="W116">
        <v>127.6</v>
      </c>
      <c r="Y116">
        <v>139.5</v>
      </c>
      <c r="AA116">
        <v>136.1</v>
      </c>
      <c r="AC116">
        <v>139.9</v>
      </c>
      <c r="AE116">
        <v>132.69999999999999</v>
      </c>
      <c r="AG116">
        <v>127.2</v>
      </c>
      <c r="AI116">
        <v>131.5</v>
      </c>
      <c r="AK116">
        <v>172.1</v>
      </c>
      <c r="AM116">
        <v>127.5</v>
      </c>
      <c r="AO116">
        <v>128.5</v>
      </c>
      <c r="AQ116">
        <v>126.1</v>
      </c>
      <c r="AS116">
        <v>120.8</v>
      </c>
      <c r="AU116">
        <v>122.8</v>
      </c>
      <c r="AW116">
        <v>132.30000000000001</v>
      </c>
      <c r="AY116">
        <v>123.3</v>
      </c>
      <c r="BA116">
        <v>125.3</v>
      </c>
      <c r="BC116">
        <v>131.19999999999999</v>
      </c>
    </row>
    <row r="117" spans="3:55" x14ac:dyDescent="0.3">
      <c r="C117">
        <v>133.6</v>
      </c>
      <c r="E117">
        <v>139.80000000000001</v>
      </c>
      <c r="G117">
        <v>130.9</v>
      </c>
      <c r="I117">
        <v>135.30000000000001</v>
      </c>
      <c r="K117">
        <v>120.2</v>
      </c>
      <c r="M117">
        <v>135.6</v>
      </c>
      <c r="O117">
        <v>144.1</v>
      </c>
      <c r="Q117">
        <v>130.6</v>
      </c>
      <c r="S117">
        <v>112.4</v>
      </c>
      <c r="U117">
        <v>135.6</v>
      </c>
      <c r="W117">
        <v>127.7</v>
      </c>
      <c r="Y117">
        <v>139.6</v>
      </c>
      <c r="AA117">
        <v>136.30000000000001</v>
      </c>
      <c r="AC117">
        <v>140</v>
      </c>
      <c r="AE117">
        <v>132.9</v>
      </c>
      <c r="AG117">
        <v>127.3</v>
      </c>
      <c r="AI117">
        <v>131.9</v>
      </c>
      <c r="AK117">
        <v>173.5</v>
      </c>
      <c r="AM117">
        <v>127.9</v>
      </c>
      <c r="AO117">
        <v>128.6</v>
      </c>
      <c r="AQ117">
        <v>126.2</v>
      </c>
      <c r="AS117">
        <v>121</v>
      </c>
      <c r="AU117">
        <v>122.9</v>
      </c>
      <c r="AW117">
        <v>132.4</v>
      </c>
      <c r="AY117">
        <v>123.4</v>
      </c>
      <c r="BA117">
        <v>125.5</v>
      </c>
      <c r="BC117">
        <v>131.4</v>
      </c>
    </row>
    <row r="118" spans="3:55" x14ac:dyDescent="0.3">
      <c r="C118">
        <v>133.9</v>
      </c>
      <c r="E118">
        <v>140.30000000000001</v>
      </c>
      <c r="G118">
        <v>131</v>
      </c>
      <c r="I118">
        <v>135.4</v>
      </c>
      <c r="K118">
        <v>120.4</v>
      </c>
      <c r="M118">
        <v>135.80000000000001</v>
      </c>
      <c r="O118">
        <v>144.69999999999999</v>
      </c>
      <c r="Q118">
        <v>130.9</v>
      </c>
      <c r="S118">
        <v>112.5</v>
      </c>
      <c r="U118">
        <v>135.80000000000001</v>
      </c>
      <c r="W118">
        <v>127.8</v>
      </c>
      <c r="Y118">
        <v>139.9</v>
      </c>
      <c r="AA118">
        <v>136.4</v>
      </c>
      <c r="AC118">
        <v>140.19999999999999</v>
      </c>
      <c r="AE118">
        <v>133.19999999999999</v>
      </c>
      <c r="AG118">
        <v>127.4</v>
      </c>
      <c r="AI118">
        <v>132</v>
      </c>
      <c r="AK118">
        <v>175.2</v>
      </c>
      <c r="AM118">
        <v>128</v>
      </c>
      <c r="AO118">
        <v>128.80000000000001</v>
      </c>
      <c r="AQ118">
        <v>126.4</v>
      </c>
      <c r="AS118">
        <v>121.2</v>
      </c>
      <c r="AU118">
        <v>123.2</v>
      </c>
      <c r="AW118">
        <v>132.80000000000001</v>
      </c>
      <c r="AY118">
        <v>123.5</v>
      </c>
      <c r="BA118">
        <v>125.7</v>
      </c>
      <c r="BC118">
        <v>131.80000000000001</v>
      </c>
    </row>
    <row r="119" spans="3:55" x14ac:dyDescent="0.3">
      <c r="C119">
        <v>134</v>
      </c>
      <c r="E119">
        <v>140.5</v>
      </c>
      <c r="G119">
        <v>131.19999999999999</v>
      </c>
      <c r="I119">
        <v>135.5</v>
      </c>
      <c r="K119">
        <v>120.5</v>
      </c>
      <c r="M119">
        <v>136</v>
      </c>
      <c r="O119">
        <v>144.80000000000001</v>
      </c>
      <c r="Q119">
        <v>131.19999999999999</v>
      </c>
      <c r="S119">
        <v>112.6</v>
      </c>
      <c r="U119">
        <v>136</v>
      </c>
      <c r="W119">
        <v>128</v>
      </c>
      <c r="Y119">
        <v>140.19999999999999</v>
      </c>
      <c r="AA119">
        <v>136.6</v>
      </c>
      <c r="AC119">
        <v>140.6</v>
      </c>
      <c r="AE119">
        <v>133.30000000000001</v>
      </c>
      <c r="AG119">
        <v>127.6</v>
      </c>
      <c r="AI119">
        <v>132.6</v>
      </c>
      <c r="AK119">
        <v>175.6</v>
      </c>
      <c r="AM119">
        <v>128.1</v>
      </c>
      <c r="AO119">
        <v>129.19999999999999</v>
      </c>
      <c r="AQ119">
        <v>126.6</v>
      </c>
      <c r="AS119">
        <v>121.5</v>
      </c>
      <c r="AU119">
        <v>123.5</v>
      </c>
      <c r="AW119">
        <v>133</v>
      </c>
      <c r="AY119">
        <v>123.6</v>
      </c>
      <c r="BA119">
        <v>125.8</v>
      </c>
      <c r="BC119">
        <v>131.9</v>
      </c>
    </row>
    <row r="120" spans="3:55" x14ac:dyDescent="0.3">
      <c r="C120">
        <v>134.30000000000001</v>
      </c>
      <c r="E120">
        <v>140.6</v>
      </c>
      <c r="G120">
        <v>131.4</v>
      </c>
      <c r="I120">
        <v>135.80000000000001</v>
      </c>
      <c r="K120">
        <v>120.7</v>
      </c>
      <c r="M120">
        <v>136.1</v>
      </c>
      <c r="O120">
        <v>145.1</v>
      </c>
      <c r="Q120">
        <v>131.30000000000001</v>
      </c>
      <c r="S120">
        <v>112.7</v>
      </c>
      <c r="U120">
        <v>136.30000000000001</v>
      </c>
      <c r="W120">
        <v>128.1</v>
      </c>
      <c r="Y120">
        <v>140.30000000000001</v>
      </c>
      <c r="AA120">
        <v>136.80000000000001</v>
      </c>
      <c r="AC120">
        <v>140.9</v>
      </c>
      <c r="AE120">
        <v>133.5</v>
      </c>
      <c r="AG120">
        <v>127.9</v>
      </c>
      <c r="AI120">
        <v>132.69999999999999</v>
      </c>
      <c r="AK120" t="s">
        <v>48</v>
      </c>
      <c r="AM120">
        <v>128.19999999999999</v>
      </c>
      <c r="AO120">
        <v>129.30000000000001</v>
      </c>
      <c r="AQ120">
        <v>126.7</v>
      </c>
      <c r="AS120">
        <v>121.6</v>
      </c>
      <c r="AU120">
        <v>123.6</v>
      </c>
      <c r="AW120">
        <v>133.1</v>
      </c>
      <c r="AY120">
        <v>123.7</v>
      </c>
      <c r="BA120">
        <v>125.9</v>
      </c>
      <c r="BC120">
        <v>132</v>
      </c>
    </row>
    <row r="121" spans="3:55" x14ac:dyDescent="0.3">
      <c r="C121">
        <v>134.4</v>
      </c>
      <c r="E121">
        <v>141.19999999999999</v>
      </c>
      <c r="G121">
        <v>131.6</v>
      </c>
      <c r="I121">
        <v>136</v>
      </c>
      <c r="K121">
        <v>120.8</v>
      </c>
      <c r="M121">
        <v>136.4</v>
      </c>
      <c r="O121">
        <v>145.19999999999999</v>
      </c>
      <c r="Q121">
        <v>131.5</v>
      </c>
      <c r="S121">
        <v>112.8</v>
      </c>
      <c r="U121">
        <v>136.5</v>
      </c>
      <c r="W121">
        <v>128.30000000000001</v>
      </c>
      <c r="Y121">
        <v>140.69999999999999</v>
      </c>
      <c r="AA121">
        <v>137</v>
      </c>
      <c r="AC121">
        <v>141</v>
      </c>
      <c r="AE121">
        <v>133.9</v>
      </c>
      <c r="AG121">
        <v>128.19999999999999</v>
      </c>
      <c r="AI121">
        <v>133.19999999999999</v>
      </c>
      <c r="AK121" t="s">
        <v>32</v>
      </c>
      <c r="AM121">
        <v>128.6</v>
      </c>
      <c r="AO121">
        <v>129.4</v>
      </c>
      <c r="AQ121">
        <v>126.9</v>
      </c>
      <c r="AS121">
        <v>121.7</v>
      </c>
      <c r="AU121">
        <v>124</v>
      </c>
      <c r="AW121">
        <v>133.30000000000001</v>
      </c>
      <c r="AY121">
        <v>124.1</v>
      </c>
      <c r="BA121">
        <v>126.1</v>
      </c>
      <c r="BC121">
        <v>132.4</v>
      </c>
    </row>
    <row r="122" spans="3:55" x14ac:dyDescent="0.3">
      <c r="C122">
        <v>134.6</v>
      </c>
      <c r="E122">
        <v>141.6</v>
      </c>
      <c r="G122">
        <v>131.9</v>
      </c>
      <c r="I122">
        <v>136.19999999999999</v>
      </c>
      <c r="K122">
        <v>120.9</v>
      </c>
      <c r="M122">
        <v>136.5</v>
      </c>
      <c r="O122">
        <v>145.4</v>
      </c>
      <c r="Q122">
        <v>131.6</v>
      </c>
      <c r="S122">
        <v>112.9</v>
      </c>
      <c r="U122">
        <v>136.80000000000001</v>
      </c>
      <c r="W122">
        <v>128.5</v>
      </c>
      <c r="Y122">
        <v>140.9</v>
      </c>
      <c r="AA122">
        <v>137.19999999999999</v>
      </c>
      <c r="AC122">
        <v>141.19999999999999</v>
      </c>
      <c r="AE122">
        <v>134</v>
      </c>
      <c r="AG122">
        <v>128.5</v>
      </c>
      <c r="AI122">
        <v>133.4</v>
      </c>
      <c r="AK122" t="s">
        <v>51</v>
      </c>
      <c r="AM122">
        <v>128.80000000000001</v>
      </c>
      <c r="AO122">
        <v>129.5</v>
      </c>
      <c r="AQ122">
        <v>127</v>
      </c>
      <c r="AS122">
        <v>121.9</v>
      </c>
      <c r="AU122">
        <v>124.1</v>
      </c>
      <c r="AW122">
        <v>133.4</v>
      </c>
      <c r="AY122">
        <v>124.4</v>
      </c>
      <c r="BA122">
        <v>126.3</v>
      </c>
      <c r="BC122">
        <v>132.6</v>
      </c>
    </row>
    <row r="123" spans="3:55" x14ac:dyDescent="0.3">
      <c r="C123">
        <v>134.69999999999999</v>
      </c>
      <c r="E123">
        <v>141.9</v>
      </c>
      <c r="G123">
        <v>132</v>
      </c>
      <c r="I123">
        <v>136.30000000000001</v>
      </c>
      <c r="K123">
        <v>121</v>
      </c>
      <c r="M123">
        <v>136.80000000000001</v>
      </c>
      <c r="O123">
        <v>145.5</v>
      </c>
      <c r="Q123">
        <v>131.80000000000001</v>
      </c>
      <c r="S123">
        <v>113.1</v>
      </c>
      <c r="U123">
        <v>136.9</v>
      </c>
      <c r="W123">
        <v>128.6</v>
      </c>
      <c r="Y123">
        <v>141.1</v>
      </c>
      <c r="AA123">
        <v>137.30000000000001</v>
      </c>
      <c r="AC123">
        <v>141.5</v>
      </c>
      <c r="AE123">
        <v>134.1</v>
      </c>
      <c r="AG123">
        <v>128.6</v>
      </c>
      <c r="AI123">
        <v>133.5</v>
      </c>
      <c r="AM123">
        <v>128.9</v>
      </c>
      <c r="AO123">
        <v>129.69999999999999</v>
      </c>
      <c r="AQ123">
        <v>127.1</v>
      </c>
      <c r="AS123">
        <v>122</v>
      </c>
      <c r="AU123">
        <v>124.2</v>
      </c>
      <c r="AW123">
        <v>133.6</v>
      </c>
      <c r="AY123">
        <v>124.5</v>
      </c>
      <c r="BA123">
        <v>126.5</v>
      </c>
      <c r="BC123">
        <v>132.69999999999999</v>
      </c>
    </row>
    <row r="124" spans="3:55" x14ac:dyDescent="0.3">
      <c r="C124">
        <v>134.80000000000001</v>
      </c>
      <c r="E124">
        <v>142</v>
      </c>
      <c r="G124">
        <v>132.19999999999999</v>
      </c>
      <c r="I124">
        <v>136.69999999999999</v>
      </c>
      <c r="K124">
        <v>121.1</v>
      </c>
      <c r="M124">
        <v>136.9</v>
      </c>
      <c r="O124">
        <v>145.69999999999999</v>
      </c>
      <c r="Q124">
        <v>131.9</v>
      </c>
      <c r="S124">
        <v>113.2</v>
      </c>
      <c r="U124">
        <v>137.1</v>
      </c>
      <c r="W124">
        <v>128.69999999999999</v>
      </c>
      <c r="Y124">
        <v>141.5</v>
      </c>
      <c r="AA124">
        <v>137.4</v>
      </c>
      <c r="AC124">
        <v>141.80000000000001</v>
      </c>
      <c r="AE124">
        <v>134.4</v>
      </c>
      <c r="AG124">
        <v>128.69999999999999</v>
      </c>
      <c r="AI124">
        <v>133.80000000000001</v>
      </c>
      <c r="AM124">
        <v>129.1</v>
      </c>
      <c r="AO124">
        <v>129.9</v>
      </c>
      <c r="AQ124">
        <v>127.4</v>
      </c>
      <c r="AS124">
        <v>122.5</v>
      </c>
      <c r="AU124">
        <v>124.5</v>
      </c>
      <c r="AW124">
        <v>133.69999999999999</v>
      </c>
      <c r="AY124">
        <v>124.6</v>
      </c>
      <c r="BA124">
        <v>126.6</v>
      </c>
      <c r="BC124">
        <v>132.80000000000001</v>
      </c>
    </row>
    <row r="125" spans="3:55" x14ac:dyDescent="0.3">
      <c r="C125">
        <v>135</v>
      </c>
      <c r="E125">
        <v>142.1</v>
      </c>
      <c r="G125">
        <v>132.30000000000001</v>
      </c>
      <c r="I125">
        <v>136.80000000000001</v>
      </c>
      <c r="K125">
        <v>121.3</v>
      </c>
      <c r="M125">
        <v>137</v>
      </c>
      <c r="O125">
        <v>146.69999999999999</v>
      </c>
      <c r="Q125">
        <v>132.19999999999999</v>
      </c>
      <c r="S125">
        <v>113.3</v>
      </c>
      <c r="U125">
        <v>137.19999999999999</v>
      </c>
      <c r="W125">
        <v>128.80000000000001</v>
      </c>
      <c r="Y125">
        <v>141.6</v>
      </c>
      <c r="AA125">
        <v>137.5</v>
      </c>
      <c r="AC125">
        <v>142</v>
      </c>
      <c r="AE125">
        <v>134.6</v>
      </c>
      <c r="AG125">
        <v>128.9</v>
      </c>
      <c r="AI125">
        <v>134</v>
      </c>
      <c r="AM125">
        <v>129.4</v>
      </c>
      <c r="AO125">
        <v>130</v>
      </c>
      <c r="AQ125">
        <v>127.8</v>
      </c>
      <c r="AS125">
        <v>122.7</v>
      </c>
      <c r="AU125">
        <v>124.6</v>
      </c>
      <c r="AW125">
        <v>133.80000000000001</v>
      </c>
      <c r="AY125">
        <v>124.9</v>
      </c>
      <c r="BA125">
        <v>126.8</v>
      </c>
      <c r="BC125">
        <v>132.9</v>
      </c>
    </row>
    <row r="126" spans="3:55" x14ac:dyDescent="0.3">
      <c r="C126">
        <v>135.19999999999999</v>
      </c>
      <c r="E126">
        <v>142.19999999999999</v>
      </c>
      <c r="G126">
        <v>132.6</v>
      </c>
      <c r="I126">
        <v>137.19999999999999</v>
      </c>
      <c r="K126">
        <v>121.4</v>
      </c>
      <c r="M126">
        <v>137.19999999999999</v>
      </c>
      <c r="O126">
        <v>147.5</v>
      </c>
      <c r="Q126">
        <v>132.30000000000001</v>
      </c>
      <c r="S126">
        <v>113.4</v>
      </c>
      <c r="U126">
        <v>137.30000000000001</v>
      </c>
      <c r="W126">
        <v>128.9</v>
      </c>
      <c r="Y126">
        <v>141.80000000000001</v>
      </c>
      <c r="AA126">
        <v>137.6</v>
      </c>
      <c r="AC126">
        <v>142.19999999999999</v>
      </c>
      <c r="AE126">
        <v>135</v>
      </c>
      <c r="AG126">
        <v>129</v>
      </c>
      <c r="AI126">
        <v>134.4</v>
      </c>
      <c r="AM126">
        <v>129.69999999999999</v>
      </c>
      <c r="AO126">
        <v>130.1</v>
      </c>
      <c r="AQ126">
        <v>128.1</v>
      </c>
      <c r="AS126">
        <v>122.9</v>
      </c>
      <c r="AU126">
        <v>124.8</v>
      </c>
      <c r="AW126">
        <v>134.19999999999999</v>
      </c>
      <c r="AY126">
        <v>125.4</v>
      </c>
      <c r="BA126">
        <v>127</v>
      </c>
      <c r="BC126">
        <v>133</v>
      </c>
    </row>
    <row r="127" spans="3:55" x14ac:dyDescent="0.3">
      <c r="C127">
        <v>135.30000000000001</v>
      </c>
      <c r="E127">
        <v>142.4</v>
      </c>
      <c r="G127">
        <v>132.80000000000001</v>
      </c>
      <c r="I127">
        <v>137.30000000000001</v>
      </c>
      <c r="K127">
        <v>121.5</v>
      </c>
      <c r="M127">
        <v>137.4</v>
      </c>
      <c r="O127">
        <v>147.6</v>
      </c>
      <c r="Q127">
        <v>132.5</v>
      </c>
      <c r="S127">
        <v>113.5</v>
      </c>
      <c r="U127">
        <v>137.4</v>
      </c>
      <c r="W127">
        <v>129</v>
      </c>
      <c r="Y127">
        <v>141.9</v>
      </c>
      <c r="AA127">
        <v>137.9</v>
      </c>
      <c r="AC127">
        <v>142.4</v>
      </c>
      <c r="AE127">
        <v>135.4</v>
      </c>
      <c r="AG127">
        <v>129.1</v>
      </c>
      <c r="AI127">
        <v>134.5</v>
      </c>
      <c r="AM127">
        <v>129.80000000000001</v>
      </c>
      <c r="AO127">
        <v>130.4</v>
      </c>
      <c r="AQ127">
        <v>128.19999999999999</v>
      </c>
      <c r="AS127">
        <v>123.3</v>
      </c>
      <c r="AU127">
        <v>125</v>
      </c>
      <c r="AW127">
        <v>134.30000000000001</v>
      </c>
      <c r="AY127">
        <v>125.5</v>
      </c>
      <c r="BA127">
        <v>127.1</v>
      </c>
      <c r="BC127">
        <v>133.30000000000001</v>
      </c>
    </row>
    <row r="128" spans="3:55" x14ac:dyDescent="0.3">
      <c r="C128">
        <v>135.6</v>
      </c>
      <c r="E128">
        <v>142.5</v>
      </c>
      <c r="G128">
        <v>132.9</v>
      </c>
      <c r="I128">
        <v>137.69999999999999</v>
      </c>
      <c r="K128">
        <v>121.6</v>
      </c>
      <c r="M128">
        <v>137.5</v>
      </c>
      <c r="O128">
        <v>147.9</v>
      </c>
      <c r="Q128">
        <v>132.69999999999999</v>
      </c>
      <c r="S128">
        <v>113.6</v>
      </c>
      <c r="U128">
        <v>137.5</v>
      </c>
      <c r="W128">
        <v>129.1</v>
      </c>
      <c r="Y128">
        <v>142.30000000000001</v>
      </c>
      <c r="AA128">
        <v>138</v>
      </c>
      <c r="AC128">
        <v>142.69999999999999</v>
      </c>
      <c r="AE128">
        <v>135.5</v>
      </c>
      <c r="AG128">
        <v>129.30000000000001</v>
      </c>
      <c r="AI128">
        <v>134.69999999999999</v>
      </c>
      <c r="AM128">
        <v>130.30000000000001</v>
      </c>
      <c r="AO128">
        <v>130.6</v>
      </c>
      <c r="AQ128">
        <v>128.4</v>
      </c>
      <c r="AS128">
        <v>123.6</v>
      </c>
      <c r="AU128">
        <v>125.1</v>
      </c>
      <c r="AW128">
        <v>134.5</v>
      </c>
      <c r="AY128">
        <v>125.7</v>
      </c>
      <c r="BA128">
        <v>127.4</v>
      </c>
      <c r="BC128">
        <v>133.4</v>
      </c>
    </row>
    <row r="129" spans="3:55" x14ac:dyDescent="0.3">
      <c r="C129">
        <v>135.69999999999999</v>
      </c>
      <c r="E129">
        <v>142.6</v>
      </c>
      <c r="G129">
        <v>133.5</v>
      </c>
      <c r="I129">
        <v>138.1</v>
      </c>
      <c r="K129">
        <v>121.8</v>
      </c>
      <c r="M129">
        <v>137.6</v>
      </c>
      <c r="O129">
        <v>148.69999999999999</v>
      </c>
      <c r="Q129">
        <v>132.9</v>
      </c>
      <c r="S129">
        <v>113.7</v>
      </c>
      <c r="U129">
        <v>137.6</v>
      </c>
      <c r="W129">
        <v>129.19999999999999</v>
      </c>
      <c r="Y129">
        <v>142.4</v>
      </c>
      <c r="AA129">
        <v>138.1</v>
      </c>
      <c r="AC129">
        <v>142.9</v>
      </c>
      <c r="AE129">
        <v>135.6</v>
      </c>
      <c r="AG129">
        <v>129.80000000000001</v>
      </c>
      <c r="AI129">
        <v>134.80000000000001</v>
      </c>
      <c r="AM129">
        <v>130.5</v>
      </c>
      <c r="AO129">
        <v>130.80000000000001</v>
      </c>
      <c r="AQ129">
        <v>128.5</v>
      </c>
      <c r="AS129">
        <v>123.7</v>
      </c>
      <c r="AU129">
        <v>125.2</v>
      </c>
      <c r="AW129">
        <v>134.6</v>
      </c>
      <c r="AY129">
        <v>126.2</v>
      </c>
      <c r="BA129">
        <v>127.5</v>
      </c>
      <c r="BC129">
        <v>133.5</v>
      </c>
    </row>
    <row r="130" spans="3:55" x14ac:dyDescent="0.3">
      <c r="C130">
        <v>135.80000000000001</v>
      </c>
      <c r="E130">
        <v>142.80000000000001</v>
      </c>
      <c r="G130">
        <v>133.6</v>
      </c>
      <c r="I130">
        <v>138.19999999999999</v>
      </c>
      <c r="K130">
        <v>122</v>
      </c>
      <c r="M130">
        <v>137.69999999999999</v>
      </c>
      <c r="O130">
        <v>148.9</v>
      </c>
      <c r="Q130">
        <v>133.1</v>
      </c>
      <c r="S130">
        <v>113.8</v>
      </c>
      <c r="U130">
        <v>137.80000000000001</v>
      </c>
      <c r="W130">
        <v>129.4</v>
      </c>
      <c r="Y130">
        <v>142.6</v>
      </c>
      <c r="AA130">
        <v>138.19999999999999</v>
      </c>
      <c r="AC130">
        <v>143.1</v>
      </c>
      <c r="AE130">
        <v>135.80000000000001</v>
      </c>
      <c r="AG130">
        <v>130.19999999999999</v>
      </c>
      <c r="AI130">
        <v>135</v>
      </c>
      <c r="AM130">
        <v>131</v>
      </c>
      <c r="AO130">
        <v>130.9</v>
      </c>
      <c r="AQ130">
        <v>128.69999999999999</v>
      </c>
      <c r="AS130">
        <v>123.9</v>
      </c>
      <c r="AU130">
        <v>125.5</v>
      </c>
      <c r="AW130">
        <v>134.80000000000001</v>
      </c>
      <c r="AY130">
        <v>126.5</v>
      </c>
      <c r="BA130">
        <v>127.7</v>
      </c>
      <c r="BC130">
        <v>133.6</v>
      </c>
    </row>
    <row r="131" spans="3:55" x14ac:dyDescent="0.3">
      <c r="C131">
        <v>135.9</v>
      </c>
      <c r="E131">
        <v>143</v>
      </c>
      <c r="G131">
        <v>133.69999999999999</v>
      </c>
      <c r="I131">
        <v>138.30000000000001</v>
      </c>
      <c r="K131">
        <v>122.1</v>
      </c>
      <c r="M131">
        <v>137.80000000000001</v>
      </c>
      <c r="O131">
        <v>149</v>
      </c>
      <c r="Q131">
        <v>133.6</v>
      </c>
      <c r="S131">
        <v>113.9</v>
      </c>
      <c r="U131">
        <v>137.9</v>
      </c>
      <c r="W131">
        <v>129.5</v>
      </c>
      <c r="Y131">
        <v>142.80000000000001</v>
      </c>
      <c r="AA131">
        <v>138.4</v>
      </c>
      <c r="AC131">
        <v>143.6</v>
      </c>
      <c r="AE131">
        <v>136</v>
      </c>
      <c r="AG131">
        <v>130.30000000000001</v>
      </c>
      <c r="AI131">
        <v>135.19999999999999</v>
      </c>
      <c r="AM131">
        <v>131.19999999999999</v>
      </c>
      <c r="AO131">
        <v>131.1</v>
      </c>
      <c r="AQ131">
        <v>129</v>
      </c>
      <c r="AS131">
        <v>124.3</v>
      </c>
      <c r="AU131">
        <v>125.6</v>
      </c>
      <c r="AW131">
        <v>134.9</v>
      </c>
      <c r="AY131">
        <v>126.7</v>
      </c>
      <c r="BA131">
        <v>127.9</v>
      </c>
      <c r="BC131">
        <v>133.80000000000001</v>
      </c>
    </row>
    <row r="132" spans="3:55" x14ac:dyDescent="0.3">
      <c r="C132">
        <v>136</v>
      </c>
      <c r="E132">
        <v>143.1</v>
      </c>
      <c r="G132">
        <v>133.9</v>
      </c>
      <c r="I132">
        <v>138.5</v>
      </c>
      <c r="K132">
        <v>122.2</v>
      </c>
      <c r="M132">
        <v>137.9</v>
      </c>
      <c r="O132">
        <v>149.19999999999999</v>
      </c>
      <c r="Q132">
        <v>133.80000000000001</v>
      </c>
      <c r="S132">
        <v>114</v>
      </c>
      <c r="U132">
        <v>138.1</v>
      </c>
      <c r="W132">
        <v>129.6</v>
      </c>
      <c r="Y132">
        <v>142.9</v>
      </c>
      <c r="AA132">
        <v>138.5</v>
      </c>
      <c r="AC132">
        <v>143.69999999999999</v>
      </c>
      <c r="AE132">
        <v>136.30000000000001</v>
      </c>
      <c r="AG132">
        <v>130.4</v>
      </c>
      <c r="AI132">
        <v>135.4</v>
      </c>
      <c r="AM132">
        <v>132</v>
      </c>
      <c r="AO132">
        <v>131.19999999999999</v>
      </c>
      <c r="AQ132">
        <v>129.1</v>
      </c>
      <c r="AS132">
        <v>124.6</v>
      </c>
      <c r="AU132">
        <v>125.7</v>
      </c>
      <c r="AW132">
        <v>135.19999999999999</v>
      </c>
      <c r="AY132">
        <v>126.8</v>
      </c>
      <c r="BA132">
        <v>128.1</v>
      </c>
      <c r="BC132">
        <v>133.9</v>
      </c>
    </row>
    <row r="133" spans="3:55" x14ac:dyDescent="0.3">
      <c r="C133">
        <v>136.19999999999999</v>
      </c>
      <c r="E133">
        <v>143.30000000000001</v>
      </c>
      <c r="G133">
        <v>134.1</v>
      </c>
      <c r="I133">
        <v>138.6</v>
      </c>
      <c r="K133">
        <v>122.5</v>
      </c>
      <c r="M133">
        <v>138.1</v>
      </c>
      <c r="O133">
        <v>149.4</v>
      </c>
      <c r="Q133">
        <v>134.6</v>
      </c>
      <c r="S133">
        <v>114.1</v>
      </c>
      <c r="U133">
        <v>138.19999999999999</v>
      </c>
      <c r="W133">
        <v>129.80000000000001</v>
      </c>
      <c r="Y133">
        <v>143.1</v>
      </c>
      <c r="AA133">
        <v>138.6</v>
      </c>
      <c r="AC133">
        <v>143.80000000000001</v>
      </c>
      <c r="AE133">
        <v>136.6</v>
      </c>
      <c r="AG133">
        <v>130.6</v>
      </c>
      <c r="AI133">
        <v>135.6</v>
      </c>
      <c r="AM133">
        <v>132.1</v>
      </c>
      <c r="AO133">
        <v>131.80000000000001</v>
      </c>
      <c r="AQ133">
        <v>129.4</v>
      </c>
      <c r="AS133">
        <v>124.9</v>
      </c>
      <c r="AU133">
        <v>125.9</v>
      </c>
      <c r="AW133">
        <v>135.4</v>
      </c>
      <c r="AY133">
        <v>127.3</v>
      </c>
      <c r="BA133">
        <v>128.19999999999999</v>
      </c>
      <c r="BC133">
        <v>134</v>
      </c>
    </row>
    <row r="134" spans="3:55" x14ac:dyDescent="0.3">
      <c r="C134">
        <v>136.30000000000001</v>
      </c>
      <c r="E134">
        <v>143.4</v>
      </c>
      <c r="G134">
        <v>134.5</v>
      </c>
      <c r="I134">
        <v>138.69999999999999</v>
      </c>
      <c r="K134">
        <v>122.7</v>
      </c>
      <c r="M134">
        <v>138.30000000000001</v>
      </c>
      <c r="O134">
        <v>149.5</v>
      </c>
      <c r="Q134">
        <v>135.69999999999999</v>
      </c>
      <c r="S134">
        <v>114.2</v>
      </c>
      <c r="U134">
        <v>138.30000000000001</v>
      </c>
      <c r="W134">
        <v>129.9</v>
      </c>
      <c r="Y134">
        <v>143.19999999999999</v>
      </c>
      <c r="AA134">
        <v>138.69999999999999</v>
      </c>
      <c r="AC134">
        <v>143.9</v>
      </c>
      <c r="AE134">
        <v>136.69999999999999</v>
      </c>
      <c r="AG134">
        <v>130.80000000000001</v>
      </c>
      <c r="AI134">
        <v>135.9</v>
      </c>
      <c r="AM134">
        <v>132.19999999999999</v>
      </c>
      <c r="AO134">
        <v>131.9</v>
      </c>
      <c r="AQ134">
        <v>129.69999999999999</v>
      </c>
      <c r="AS134">
        <v>125.2</v>
      </c>
      <c r="AU134">
        <v>126.2</v>
      </c>
      <c r="AW134">
        <v>135.5</v>
      </c>
      <c r="AY134">
        <v>127.4</v>
      </c>
      <c r="BA134">
        <v>128.4</v>
      </c>
      <c r="BC134">
        <v>134.1</v>
      </c>
    </row>
    <row r="135" spans="3:55" x14ac:dyDescent="0.3">
      <c r="C135">
        <v>136.4</v>
      </c>
      <c r="E135">
        <v>143.5</v>
      </c>
      <c r="G135">
        <v>134.6</v>
      </c>
      <c r="I135">
        <v>139</v>
      </c>
      <c r="K135">
        <v>122.8</v>
      </c>
      <c r="M135">
        <v>138.4</v>
      </c>
      <c r="O135">
        <v>149.69999999999999</v>
      </c>
      <c r="Q135">
        <v>135.80000000000001</v>
      </c>
      <c r="S135">
        <v>114.3</v>
      </c>
      <c r="U135">
        <v>138.4</v>
      </c>
      <c r="W135">
        <v>130</v>
      </c>
      <c r="Y135">
        <v>143.6</v>
      </c>
      <c r="AA135">
        <v>138.80000000000001</v>
      </c>
      <c r="AC135">
        <v>144.19999999999999</v>
      </c>
      <c r="AE135">
        <v>136.80000000000001</v>
      </c>
      <c r="AG135">
        <v>131.1</v>
      </c>
      <c r="AI135">
        <v>136.19999999999999</v>
      </c>
      <c r="AM135">
        <v>132.4</v>
      </c>
      <c r="AO135">
        <v>132.1</v>
      </c>
      <c r="AQ135">
        <v>129.80000000000001</v>
      </c>
      <c r="AS135">
        <v>125.3</v>
      </c>
      <c r="AU135">
        <v>126.5</v>
      </c>
      <c r="AW135">
        <v>135.69999999999999</v>
      </c>
      <c r="AY135">
        <v>127.6</v>
      </c>
      <c r="BA135">
        <v>128.6</v>
      </c>
      <c r="BC135">
        <v>134.19999999999999</v>
      </c>
    </row>
    <row r="136" spans="3:55" x14ac:dyDescent="0.3">
      <c r="C136">
        <v>136.5</v>
      </c>
      <c r="E136">
        <v>143.6</v>
      </c>
      <c r="G136">
        <v>134.9</v>
      </c>
      <c r="I136">
        <v>139.1</v>
      </c>
      <c r="K136">
        <v>122.9</v>
      </c>
      <c r="M136">
        <v>138.5</v>
      </c>
      <c r="O136">
        <v>150</v>
      </c>
      <c r="Q136">
        <v>136.19999999999999</v>
      </c>
      <c r="S136">
        <v>114.4</v>
      </c>
      <c r="U136">
        <v>138.6</v>
      </c>
      <c r="W136">
        <v>130.19999999999999</v>
      </c>
      <c r="Y136">
        <v>143.69999999999999</v>
      </c>
      <c r="AA136">
        <v>138.9</v>
      </c>
      <c r="AC136">
        <v>144.30000000000001</v>
      </c>
      <c r="AE136">
        <v>137.19999999999999</v>
      </c>
      <c r="AG136">
        <v>131.19999999999999</v>
      </c>
      <c r="AI136">
        <v>136.4</v>
      </c>
      <c r="AM136">
        <v>133.19999999999999</v>
      </c>
      <c r="AO136">
        <v>132.5</v>
      </c>
      <c r="AQ136">
        <v>129.9</v>
      </c>
      <c r="AS136">
        <v>125.5</v>
      </c>
      <c r="AU136">
        <v>126.6</v>
      </c>
      <c r="AW136">
        <v>135.9</v>
      </c>
      <c r="AY136">
        <v>127.7</v>
      </c>
      <c r="BA136">
        <v>128.9</v>
      </c>
      <c r="BC136">
        <v>134.80000000000001</v>
      </c>
    </row>
    <row r="137" spans="3:55" x14ac:dyDescent="0.3">
      <c r="C137">
        <v>136.6</v>
      </c>
      <c r="E137">
        <v>143.69999999999999</v>
      </c>
      <c r="G137">
        <v>135.1</v>
      </c>
      <c r="I137">
        <v>139.4</v>
      </c>
      <c r="K137">
        <v>123.1</v>
      </c>
      <c r="M137">
        <v>138.69999999999999</v>
      </c>
      <c r="O137">
        <v>150.1</v>
      </c>
      <c r="Q137">
        <v>136.4</v>
      </c>
      <c r="S137">
        <v>114.5</v>
      </c>
      <c r="U137">
        <v>138.69999999999999</v>
      </c>
      <c r="W137">
        <v>130.30000000000001</v>
      </c>
      <c r="Y137">
        <v>143.9</v>
      </c>
      <c r="AA137">
        <v>139</v>
      </c>
      <c r="AC137">
        <v>144.4</v>
      </c>
      <c r="AE137">
        <v>137.30000000000001</v>
      </c>
      <c r="AG137">
        <v>131.4</v>
      </c>
      <c r="AI137">
        <v>136.5</v>
      </c>
      <c r="AM137">
        <v>133.4</v>
      </c>
      <c r="AO137">
        <v>132.80000000000001</v>
      </c>
      <c r="AQ137">
        <v>130.1</v>
      </c>
      <c r="AS137">
        <v>125.6</v>
      </c>
      <c r="AU137">
        <v>126.8</v>
      </c>
      <c r="AW137">
        <v>136.30000000000001</v>
      </c>
      <c r="AY137">
        <v>127.8</v>
      </c>
      <c r="BA137">
        <v>129.1</v>
      </c>
      <c r="BC137">
        <v>135.19999999999999</v>
      </c>
    </row>
    <row r="138" spans="3:55" x14ac:dyDescent="0.3">
      <c r="C138">
        <v>136.80000000000001</v>
      </c>
      <c r="E138">
        <v>143.80000000000001</v>
      </c>
      <c r="G138">
        <v>135.5</v>
      </c>
      <c r="I138">
        <v>139.5</v>
      </c>
      <c r="K138">
        <v>123.2</v>
      </c>
      <c r="M138">
        <v>139.19999999999999</v>
      </c>
      <c r="O138">
        <v>150.19999999999999</v>
      </c>
      <c r="Q138">
        <v>137.1</v>
      </c>
      <c r="S138">
        <v>114.6</v>
      </c>
      <c r="U138">
        <v>138.80000000000001</v>
      </c>
      <c r="W138">
        <v>130.4</v>
      </c>
      <c r="Y138">
        <v>144</v>
      </c>
      <c r="AA138">
        <v>139.1</v>
      </c>
      <c r="AC138">
        <v>145</v>
      </c>
      <c r="AE138">
        <v>137.80000000000001</v>
      </c>
      <c r="AG138">
        <v>131.6</v>
      </c>
      <c r="AI138">
        <v>137</v>
      </c>
      <c r="AM138">
        <v>133.6</v>
      </c>
      <c r="AO138">
        <v>132.9</v>
      </c>
      <c r="AQ138">
        <v>130.19999999999999</v>
      </c>
      <c r="AS138">
        <v>125.8</v>
      </c>
      <c r="AU138">
        <v>126.9</v>
      </c>
      <c r="AW138">
        <v>136.6</v>
      </c>
      <c r="AY138">
        <v>128.1</v>
      </c>
      <c r="BA138">
        <v>129.5</v>
      </c>
      <c r="BC138">
        <v>135.4</v>
      </c>
    </row>
    <row r="139" spans="3:55" x14ac:dyDescent="0.3">
      <c r="C139">
        <v>136.9</v>
      </c>
      <c r="E139">
        <v>143.9</v>
      </c>
      <c r="G139">
        <v>135.6</v>
      </c>
      <c r="I139">
        <v>139.6</v>
      </c>
      <c r="K139">
        <v>123.5</v>
      </c>
      <c r="M139">
        <v>139.4</v>
      </c>
      <c r="O139">
        <v>150.5</v>
      </c>
      <c r="Q139">
        <v>137.19999999999999</v>
      </c>
      <c r="S139">
        <v>114.7</v>
      </c>
      <c r="U139">
        <v>138.9</v>
      </c>
      <c r="W139">
        <v>130.5</v>
      </c>
      <c r="Y139">
        <v>144.19999999999999</v>
      </c>
      <c r="AA139">
        <v>139.19999999999999</v>
      </c>
      <c r="AC139">
        <v>145.1</v>
      </c>
      <c r="AE139">
        <v>138</v>
      </c>
      <c r="AG139">
        <v>131.69999999999999</v>
      </c>
      <c r="AI139">
        <v>137.1</v>
      </c>
      <c r="AM139">
        <v>134.19999999999999</v>
      </c>
      <c r="AO139">
        <v>133.1</v>
      </c>
      <c r="AQ139">
        <v>130.5</v>
      </c>
      <c r="AS139">
        <v>126</v>
      </c>
      <c r="AU139">
        <v>127</v>
      </c>
      <c r="AW139">
        <v>136.69999999999999</v>
      </c>
      <c r="AY139">
        <v>128.19999999999999</v>
      </c>
      <c r="BA139">
        <v>129.6</v>
      </c>
      <c r="BC139">
        <v>136.1</v>
      </c>
    </row>
    <row r="140" spans="3:55" x14ac:dyDescent="0.3">
      <c r="C140">
        <v>137</v>
      </c>
      <c r="E140">
        <v>144.1</v>
      </c>
      <c r="G140">
        <v>135.9</v>
      </c>
      <c r="I140">
        <v>139.9</v>
      </c>
      <c r="K140">
        <v>123.6</v>
      </c>
      <c r="M140">
        <v>139.5</v>
      </c>
      <c r="O140">
        <v>150.69999999999999</v>
      </c>
      <c r="Q140">
        <v>137.4</v>
      </c>
      <c r="S140">
        <v>114.8</v>
      </c>
      <c r="U140">
        <v>139.19999999999999</v>
      </c>
      <c r="W140">
        <v>130.80000000000001</v>
      </c>
      <c r="Y140">
        <v>144.4</v>
      </c>
      <c r="AA140">
        <v>139.4</v>
      </c>
      <c r="AC140">
        <v>145.4</v>
      </c>
      <c r="AE140">
        <v>138.19999999999999</v>
      </c>
      <c r="AG140">
        <v>131.9</v>
      </c>
      <c r="AI140">
        <v>137.19999999999999</v>
      </c>
      <c r="AM140">
        <v>134.80000000000001</v>
      </c>
      <c r="AO140">
        <v>133.19999999999999</v>
      </c>
      <c r="AQ140">
        <v>130.6</v>
      </c>
      <c r="AS140">
        <v>126.1</v>
      </c>
      <c r="AU140">
        <v>127.3</v>
      </c>
      <c r="AW140">
        <v>136.80000000000001</v>
      </c>
      <c r="AY140">
        <v>128.30000000000001</v>
      </c>
      <c r="BA140">
        <v>129.69999999999999</v>
      </c>
      <c r="BC140">
        <v>136.19999999999999</v>
      </c>
    </row>
    <row r="141" spans="3:55" x14ac:dyDescent="0.3">
      <c r="C141">
        <v>137.1</v>
      </c>
      <c r="E141">
        <v>144.19999999999999</v>
      </c>
      <c r="G141">
        <v>136</v>
      </c>
      <c r="I141">
        <v>140.19999999999999</v>
      </c>
      <c r="K141">
        <v>123.9</v>
      </c>
      <c r="M141">
        <v>139.69999999999999</v>
      </c>
      <c r="O141">
        <v>151.19999999999999</v>
      </c>
      <c r="Q141">
        <v>137.9</v>
      </c>
      <c r="S141">
        <v>114.9</v>
      </c>
      <c r="U141">
        <v>139.30000000000001</v>
      </c>
      <c r="W141">
        <v>131.1</v>
      </c>
      <c r="Y141">
        <v>144.5</v>
      </c>
      <c r="AA141">
        <v>139.6</v>
      </c>
      <c r="AC141">
        <v>145.5</v>
      </c>
      <c r="AE141">
        <v>138.5</v>
      </c>
      <c r="AG141">
        <v>132.1</v>
      </c>
      <c r="AI141">
        <v>137.4</v>
      </c>
      <c r="AM141">
        <v>135</v>
      </c>
      <c r="AO141">
        <v>133.30000000000001</v>
      </c>
      <c r="AQ141">
        <v>131</v>
      </c>
      <c r="AS141">
        <v>126.3</v>
      </c>
      <c r="AU141">
        <v>127.6</v>
      </c>
      <c r="AW141">
        <v>136.9</v>
      </c>
      <c r="AY141">
        <v>128.6</v>
      </c>
      <c r="BA141">
        <v>130.19999999999999</v>
      </c>
      <c r="BC141">
        <v>136.4</v>
      </c>
    </row>
    <row r="142" spans="3:55" x14ac:dyDescent="0.3">
      <c r="C142">
        <v>137.4</v>
      </c>
      <c r="E142">
        <v>144.30000000000001</v>
      </c>
      <c r="G142">
        <v>136.19999999999999</v>
      </c>
      <c r="I142">
        <v>140.30000000000001</v>
      </c>
      <c r="K142">
        <v>124</v>
      </c>
      <c r="M142">
        <v>139.9</v>
      </c>
      <c r="O142">
        <v>151.30000000000001</v>
      </c>
      <c r="Q142">
        <v>138.1</v>
      </c>
      <c r="S142">
        <v>115</v>
      </c>
      <c r="U142">
        <v>139.4</v>
      </c>
      <c r="W142">
        <v>131.19999999999999</v>
      </c>
      <c r="Y142">
        <v>144.9</v>
      </c>
      <c r="AA142">
        <v>139.69999999999999</v>
      </c>
      <c r="AC142">
        <v>145.6</v>
      </c>
      <c r="AE142">
        <v>138.6</v>
      </c>
      <c r="AG142">
        <v>132.19999999999999</v>
      </c>
      <c r="AI142">
        <v>137.5</v>
      </c>
      <c r="AM142">
        <v>135.1</v>
      </c>
      <c r="AO142">
        <v>133.6</v>
      </c>
      <c r="AQ142">
        <v>131.30000000000001</v>
      </c>
      <c r="AS142">
        <v>126.4</v>
      </c>
      <c r="AU142">
        <v>127.7</v>
      </c>
      <c r="AW142">
        <v>137.1</v>
      </c>
      <c r="AY142">
        <v>128.80000000000001</v>
      </c>
      <c r="BA142">
        <v>130.30000000000001</v>
      </c>
      <c r="BC142">
        <v>136.5</v>
      </c>
    </row>
    <row r="143" spans="3:55" x14ac:dyDescent="0.3">
      <c r="C143">
        <v>137.5</v>
      </c>
      <c r="E143">
        <v>144.4</v>
      </c>
      <c r="G143">
        <v>136.6</v>
      </c>
      <c r="I143">
        <v>140.6</v>
      </c>
      <c r="K143">
        <v>124.1</v>
      </c>
      <c r="M143">
        <v>140</v>
      </c>
      <c r="O143">
        <v>151.4</v>
      </c>
      <c r="Q143">
        <v>138.30000000000001</v>
      </c>
      <c r="S143">
        <v>115.1</v>
      </c>
      <c r="U143">
        <v>139.5</v>
      </c>
      <c r="W143">
        <v>131.30000000000001</v>
      </c>
      <c r="Y143">
        <v>145</v>
      </c>
      <c r="AA143">
        <v>139.80000000000001</v>
      </c>
      <c r="AC143">
        <v>145.80000000000001</v>
      </c>
      <c r="AE143">
        <v>138.9</v>
      </c>
      <c r="AG143">
        <v>132.4</v>
      </c>
      <c r="AI143">
        <v>137.80000000000001</v>
      </c>
      <c r="AM143">
        <v>135.30000000000001</v>
      </c>
      <c r="AO143">
        <v>134.1</v>
      </c>
      <c r="AQ143">
        <v>131.4</v>
      </c>
      <c r="AS143">
        <v>126.6</v>
      </c>
      <c r="AU143">
        <v>127.9</v>
      </c>
      <c r="AW143">
        <v>137.19999999999999</v>
      </c>
      <c r="AY143">
        <v>129.19999999999999</v>
      </c>
      <c r="BA143">
        <v>130.69999999999999</v>
      </c>
      <c r="BC143">
        <v>136.9</v>
      </c>
    </row>
    <row r="144" spans="3:55" x14ac:dyDescent="0.3">
      <c r="C144">
        <v>137.6</v>
      </c>
      <c r="E144">
        <v>144.5</v>
      </c>
      <c r="G144">
        <v>136.69999999999999</v>
      </c>
      <c r="I144">
        <v>140.69999999999999</v>
      </c>
      <c r="K144">
        <v>124.2</v>
      </c>
      <c r="M144">
        <v>140.19999999999999</v>
      </c>
      <c r="O144">
        <v>151.5</v>
      </c>
      <c r="Q144">
        <v>138.80000000000001</v>
      </c>
      <c r="S144">
        <v>115.2</v>
      </c>
      <c r="U144">
        <v>139.6</v>
      </c>
      <c r="W144">
        <v>131.4</v>
      </c>
      <c r="Y144">
        <v>145.4</v>
      </c>
      <c r="AA144">
        <v>140</v>
      </c>
      <c r="AC144">
        <v>146.19999999999999</v>
      </c>
      <c r="AE144">
        <v>139.30000000000001</v>
      </c>
      <c r="AG144">
        <v>132.6</v>
      </c>
      <c r="AI144">
        <v>137.9</v>
      </c>
      <c r="AM144">
        <v>136.4</v>
      </c>
      <c r="AO144">
        <v>134.30000000000001</v>
      </c>
      <c r="AQ144">
        <v>132</v>
      </c>
      <c r="AS144">
        <v>127.4</v>
      </c>
      <c r="AU144">
        <v>128</v>
      </c>
      <c r="AW144">
        <v>137.4</v>
      </c>
      <c r="AY144">
        <v>129.30000000000001</v>
      </c>
      <c r="BA144">
        <v>131</v>
      </c>
      <c r="BC144">
        <v>137.1</v>
      </c>
    </row>
    <row r="145" spans="3:55" x14ac:dyDescent="0.3">
      <c r="C145">
        <v>137.80000000000001</v>
      </c>
      <c r="E145">
        <v>144.9</v>
      </c>
      <c r="G145">
        <v>137.1</v>
      </c>
      <c r="I145">
        <v>140.80000000000001</v>
      </c>
      <c r="K145">
        <v>124.3</v>
      </c>
      <c r="M145">
        <v>140.69999999999999</v>
      </c>
      <c r="O145">
        <v>151.6</v>
      </c>
      <c r="Q145">
        <v>139.1</v>
      </c>
      <c r="S145">
        <v>115.3</v>
      </c>
      <c r="U145">
        <v>139.69999999999999</v>
      </c>
      <c r="W145">
        <v>131.5</v>
      </c>
      <c r="Y145">
        <v>145.5</v>
      </c>
      <c r="AA145">
        <v>140.1</v>
      </c>
      <c r="AC145">
        <v>146.30000000000001</v>
      </c>
      <c r="AE145">
        <v>139.6</v>
      </c>
      <c r="AG145">
        <v>132.80000000000001</v>
      </c>
      <c r="AI145">
        <v>138.30000000000001</v>
      </c>
      <c r="AM145">
        <v>136.5</v>
      </c>
      <c r="AO145">
        <v>134.4</v>
      </c>
      <c r="AQ145">
        <v>132.1</v>
      </c>
      <c r="AS145">
        <v>127.5</v>
      </c>
      <c r="AU145">
        <v>128.30000000000001</v>
      </c>
      <c r="AW145">
        <v>137.6</v>
      </c>
      <c r="AY145">
        <v>129.9</v>
      </c>
      <c r="BA145">
        <v>131.30000000000001</v>
      </c>
      <c r="BC145">
        <v>137.19999999999999</v>
      </c>
    </row>
    <row r="146" spans="3:55" x14ac:dyDescent="0.3">
      <c r="C146">
        <v>138.1</v>
      </c>
      <c r="E146">
        <v>145.5</v>
      </c>
      <c r="G146">
        <v>137.30000000000001</v>
      </c>
      <c r="I146">
        <v>140.9</v>
      </c>
      <c r="K146">
        <v>124.4</v>
      </c>
      <c r="M146">
        <v>140.9</v>
      </c>
      <c r="O146">
        <v>151.80000000000001</v>
      </c>
      <c r="Q146">
        <v>139.6</v>
      </c>
      <c r="S146">
        <v>115.4</v>
      </c>
      <c r="U146">
        <v>139.9</v>
      </c>
      <c r="W146">
        <v>131.6</v>
      </c>
      <c r="Y146">
        <v>145.80000000000001</v>
      </c>
      <c r="AA146">
        <v>140.19999999999999</v>
      </c>
      <c r="AC146">
        <v>146.5</v>
      </c>
      <c r="AE146">
        <v>139.9</v>
      </c>
      <c r="AG146">
        <v>133</v>
      </c>
      <c r="AI146">
        <v>138.80000000000001</v>
      </c>
      <c r="AM146">
        <v>136.6</v>
      </c>
      <c r="AO146">
        <v>134.69999999999999</v>
      </c>
      <c r="AQ146">
        <v>132.6</v>
      </c>
      <c r="AS146">
        <v>128.30000000000001</v>
      </c>
      <c r="AU146">
        <v>128.4</v>
      </c>
      <c r="AW146">
        <v>137.80000000000001</v>
      </c>
      <c r="AY146">
        <v>130.1</v>
      </c>
      <c r="BA146">
        <v>131.69999999999999</v>
      </c>
      <c r="BC146">
        <v>137.5</v>
      </c>
    </row>
    <row r="147" spans="3:55" x14ac:dyDescent="0.3">
      <c r="C147">
        <v>138.30000000000001</v>
      </c>
      <c r="E147">
        <v>145.69999999999999</v>
      </c>
      <c r="G147">
        <v>137.4</v>
      </c>
      <c r="I147">
        <v>141</v>
      </c>
      <c r="K147">
        <v>124.6</v>
      </c>
      <c r="M147">
        <v>141.30000000000001</v>
      </c>
      <c r="O147">
        <v>152</v>
      </c>
      <c r="Q147">
        <v>139.69999999999999</v>
      </c>
      <c r="S147">
        <v>115.5</v>
      </c>
      <c r="U147">
        <v>140</v>
      </c>
      <c r="W147">
        <v>131.69999999999999</v>
      </c>
      <c r="Y147">
        <v>146</v>
      </c>
      <c r="AA147">
        <v>140.30000000000001</v>
      </c>
      <c r="AC147">
        <v>147.4</v>
      </c>
      <c r="AE147">
        <v>140</v>
      </c>
      <c r="AG147">
        <v>133.19999999999999</v>
      </c>
      <c r="AI147">
        <v>139.1</v>
      </c>
      <c r="AM147">
        <v>136.69999999999999</v>
      </c>
      <c r="AO147">
        <v>134.9</v>
      </c>
      <c r="AQ147">
        <v>133</v>
      </c>
      <c r="AS147">
        <v>128.6</v>
      </c>
      <c r="AU147">
        <v>128.5</v>
      </c>
      <c r="AW147">
        <v>137.9</v>
      </c>
      <c r="AY147">
        <v>130.4</v>
      </c>
      <c r="BA147">
        <v>131.80000000000001</v>
      </c>
      <c r="BC147">
        <v>137.6</v>
      </c>
    </row>
    <row r="148" spans="3:55" x14ac:dyDescent="0.3">
      <c r="C148">
        <v>138.4</v>
      </c>
      <c r="E148">
        <v>145.80000000000001</v>
      </c>
      <c r="G148">
        <v>137.80000000000001</v>
      </c>
      <c r="I148">
        <v>141.1</v>
      </c>
      <c r="K148">
        <v>124.7</v>
      </c>
      <c r="M148">
        <v>141.5</v>
      </c>
      <c r="O148">
        <v>152.1</v>
      </c>
      <c r="Q148">
        <v>140.19999999999999</v>
      </c>
      <c r="S148">
        <v>115.6</v>
      </c>
      <c r="U148">
        <v>140.1</v>
      </c>
      <c r="W148">
        <v>131.9</v>
      </c>
      <c r="Y148">
        <v>146.30000000000001</v>
      </c>
      <c r="AA148">
        <v>140.4</v>
      </c>
      <c r="AC148">
        <v>147.5</v>
      </c>
      <c r="AE148">
        <v>140.30000000000001</v>
      </c>
      <c r="AG148">
        <v>133.4</v>
      </c>
      <c r="AI148">
        <v>139.19999999999999</v>
      </c>
      <c r="AM148">
        <v>136.9</v>
      </c>
      <c r="AO148">
        <v>135.1</v>
      </c>
      <c r="AQ148">
        <v>133.1</v>
      </c>
      <c r="AS148">
        <v>128.9</v>
      </c>
      <c r="AU148">
        <v>128.9</v>
      </c>
      <c r="AW148">
        <v>138.5</v>
      </c>
      <c r="AY148">
        <v>130.5</v>
      </c>
      <c r="BA148">
        <v>131.9</v>
      </c>
      <c r="BC148">
        <v>137.80000000000001</v>
      </c>
    </row>
    <row r="149" spans="3:55" x14ac:dyDescent="0.3">
      <c r="C149">
        <v>138.5</v>
      </c>
      <c r="E149">
        <v>146.30000000000001</v>
      </c>
      <c r="G149">
        <v>138.1</v>
      </c>
      <c r="I149">
        <v>141.19999999999999</v>
      </c>
      <c r="K149">
        <v>125</v>
      </c>
      <c r="M149">
        <v>141.80000000000001</v>
      </c>
      <c r="O149">
        <v>152.30000000000001</v>
      </c>
      <c r="Q149">
        <v>140.4</v>
      </c>
      <c r="S149">
        <v>115.7</v>
      </c>
      <c r="U149">
        <v>140.19999999999999</v>
      </c>
      <c r="W149">
        <v>132.19999999999999</v>
      </c>
      <c r="Y149">
        <v>146.5</v>
      </c>
      <c r="AA149">
        <v>140.5</v>
      </c>
      <c r="AC149">
        <v>148</v>
      </c>
      <c r="AE149">
        <v>140.4</v>
      </c>
      <c r="AG149">
        <v>133.5</v>
      </c>
      <c r="AI149">
        <v>139.30000000000001</v>
      </c>
      <c r="AM149">
        <v>137.1</v>
      </c>
      <c r="AO149">
        <v>135.19999999999999</v>
      </c>
      <c r="AQ149">
        <v>133.30000000000001</v>
      </c>
      <c r="AS149">
        <v>129.19999999999999</v>
      </c>
      <c r="AU149">
        <v>129</v>
      </c>
      <c r="AW149">
        <v>138.6</v>
      </c>
      <c r="AY149">
        <v>130.80000000000001</v>
      </c>
      <c r="BA149">
        <v>132.1</v>
      </c>
      <c r="BC149">
        <v>138</v>
      </c>
    </row>
    <row r="150" spans="3:55" x14ac:dyDescent="0.3">
      <c r="C150">
        <v>138.6</v>
      </c>
      <c r="E150">
        <v>146.4</v>
      </c>
      <c r="G150">
        <v>138.19999999999999</v>
      </c>
      <c r="I150">
        <v>141.5</v>
      </c>
      <c r="K150">
        <v>125.1</v>
      </c>
      <c r="M150">
        <v>142.19999999999999</v>
      </c>
      <c r="O150">
        <v>152.4</v>
      </c>
      <c r="Q150">
        <v>140.9</v>
      </c>
      <c r="S150">
        <v>115.9</v>
      </c>
      <c r="U150">
        <v>140.30000000000001</v>
      </c>
      <c r="W150">
        <v>132.80000000000001</v>
      </c>
      <c r="Y150">
        <v>146.80000000000001</v>
      </c>
      <c r="AA150">
        <v>140.6</v>
      </c>
      <c r="AC150">
        <v>148.19999999999999</v>
      </c>
      <c r="AE150">
        <v>140.69999999999999</v>
      </c>
      <c r="AG150">
        <v>133.80000000000001</v>
      </c>
      <c r="AI150">
        <v>139.69999999999999</v>
      </c>
      <c r="AM150">
        <v>137.19999999999999</v>
      </c>
      <c r="AO150">
        <v>135.6</v>
      </c>
      <c r="AQ150">
        <v>133.4</v>
      </c>
      <c r="AS150">
        <v>129.30000000000001</v>
      </c>
      <c r="AU150">
        <v>129.4</v>
      </c>
      <c r="AW150">
        <v>139</v>
      </c>
      <c r="AY150">
        <v>130.9</v>
      </c>
      <c r="BA150">
        <v>132.19999999999999</v>
      </c>
      <c r="BC150">
        <v>138.1</v>
      </c>
    </row>
    <row r="151" spans="3:55" x14ac:dyDescent="0.3">
      <c r="C151">
        <v>138.69999999999999</v>
      </c>
      <c r="E151">
        <v>146.6</v>
      </c>
      <c r="G151">
        <v>138.30000000000001</v>
      </c>
      <c r="I151">
        <v>141.6</v>
      </c>
      <c r="K151">
        <v>125.6</v>
      </c>
      <c r="M151">
        <v>142.5</v>
      </c>
      <c r="O151">
        <v>152.5</v>
      </c>
      <c r="Q151">
        <v>141.1</v>
      </c>
      <c r="S151">
        <v>116.1</v>
      </c>
      <c r="U151">
        <v>140.4</v>
      </c>
      <c r="W151">
        <v>133.1</v>
      </c>
      <c r="Y151">
        <v>147.1</v>
      </c>
      <c r="AA151">
        <v>140.9</v>
      </c>
      <c r="AC151">
        <v>148.30000000000001</v>
      </c>
      <c r="AE151">
        <v>140.80000000000001</v>
      </c>
      <c r="AG151">
        <v>134.1</v>
      </c>
      <c r="AI151">
        <v>140</v>
      </c>
      <c r="AM151">
        <v>137.30000000000001</v>
      </c>
      <c r="AO151">
        <v>135.80000000000001</v>
      </c>
      <c r="AQ151">
        <v>133.6</v>
      </c>
      <c r="AS151">
        <v>129.80000000000001</v>
      </c>
      <c r="AU151">
        <v>129.69999999999999</v>
      </c>
      <c r="AW151">
        <v>139.6</v>
      </c>
      <c r="AY151">
        <v>131.19999999999999</v>
      </c>
      <c r="BA151">
        <v>132.30000000000001</v>
      </c>
      <c r="BC151">
        <v>138.30000000000001</v>
      </c>
    </row>
    <row r="152" spans="3:55" x14ac:dyDescent="0.3">
      <c r="C152">
        <v>139.19999999999999</v>
      </c>
      <c r="E152">
        <v>147.19999999999999</v>
      </c>
      <c r="G152">
        <v>138.4</v>
      </c>
      <c r="I152">
        <v>141.69999999999999</v>
      </c>
      <c r="K152">
        <v>125.7</v>
      </c>
      <c r="M152">
        <v>142.69999999999999</v>
      </c>
      <c r="O152">
        <v>152.69999999999999</v>
      </c>
      <c r="Q152">
        <v>141.80000000000001</v>
      </c>
      <c r="S152">
        <v>116.2</v>
      </c>
      <c r="U152">
        <v>140.5</v>
      </c>
      <c r="W152">
        <v>133.30000000000001</v>
      </c>
      <c r="Y152">
        <v>147.30000000000001</v>
      </c>
      <c r="AA152">
        <v>141</v>
      </c>
      <c r="AC152">
        <v>148.6</v>
      </c>
      <c r="AE152">
        <v>140.9</v>
      </c>
      <c r="AG152">
        <v>134.30000000000001</v>
      </c>
      <c r="AI152">
        <v>140.19999999999999</v>
      </c>
      <c r="AM152">
        <v>137.4</v>
      </c>
      <c r="AO152">
        <v>136.1</v>
      </c>
      <c r="AQ152">
        <v>133.80000000000001</v>
      </c>
      <c r="AS152">
        <v>129.9</v>
      </c>
      <c r="AU152">
        <v>129.80000000000001</v>
      </c>
      <c r="AW152">
        <v>139.69999999999999</v>
      </c>
      <c r="AY152">
        <v>131.30000000000001</v>
      </c>
      <c r="BA152">
        <v>132.4</v>
      </c>
      <c r="BC152">
        <v>138.5</v>
      </c>
    </row>
    <row r="153" spans="3:55" x14ac:dyDescent="0.3">
      <c r="C153">
        <v>139.30000000000001</v>
      </c>
      <c r="E153">
        <v>147.6</v>
      </c>
      <c r="G153">
        <v>138.5</v>
      </c>
      <c r="I153">
        <v>141.80000000000001</v>
      </c>
      <c r="K153">
        <v>126</v>
      </c>
      <c r="M153">
        <v>142.80000000000001</v>
      </c>
      <c r="O153">
        <v>152.80000000000001</v>
      </c>
      <c r="Q153">
        <v>142.1</v>
      </c>
      <c r="S153">
        <v>116.3</v>
      </c>
      <c r="U153">
        <v>140.6</v>
      </c>
      <c r="W153">
        <v>133.5</v>
      </c>
      <c r="Y153">
        <v>147.6</v>
      </c>
      <c r="AA153">
        <v>141.30000000000001</v>
      </c>
      <c r="AC153">
        <v>149</v>
      </c>
      <c r="AE153">
        <v>141.1</v>
      </c>
      <c r="AG153">
        <v>134.5</v>
      </c>
      <c r="AI153">
        <v>140.5</v>
      </c>
      <c r="AM153">
        <v>137.9</v>
      </c>
      <c r="AO153">
        <v>136.19999999999999</v>
      </c>
      <c r="AQ153">
        <v>134.19999999999999</v>
      </c>
      <c r="AS153">
        <v>130.19999999999999</v>
      </c>
      <c r="AU153">
        <v>129.9</v>
      </c>
      <c r="AW153">
        <v>139.80000000000001</v>
      </c>
      <c r="AY153">
        <v>131.4</v>
      </c>
      <c r="BA153">
        <v>132.5</v>
      </c>
      <c r="BC153">
        <v>138.6</v>
      </c>
    </row>
    <row r="154" spans="3:55" x14ac:dyDescent="0.3">
      <c r="C154">
        <v>139.4</v>
      </c>
      <c r="E154">
        <v>147.80000000000001</v>
      </c>
      <c r="G154">
        <v>138.69999999999999</v>
      </c>
      <c r="I154">
        <v>141.9</v>
      </c>
      <c r="K154">
        <v>126.3</v>
      </c>
      <c r="M154">
        <v>142.9</v>
      </c>
      <c r="O154">
        <v>152.9</v>
      </c>
      <c r="Q154">
        <v>142.6</v>
      </c>
      <c r="S154">
        <v>116.4</v>
      </c>
      <c r="U154">
        <v>140.69999999999999</v>
      </c>
      <c r="W154">
        <v>133.6</v>
      </c>
      <c r="Y154">
        <v>147.69999999999999</v>
      </c>
      <c r="AA154">
        <v>141.4</v>
      </c>
      <c r="AC154">
        <v>149.80000000000001</v>
      </c>
      <c r="AE154">
        <v>141.5</v>
      </c>
      <c r="AG154">
        <v>134.80000000000001</v>
      </c>
      <c r="AI154">
        <v>140.80000000000001</v>
      </c>
      <c r="AM154">
        <v>138.1</v>
      </c>
      <c r="AO154">
        <v>136.30000000000001</v>
      </c>
      <c r="AQ154">
        <v>134.30000000000001</v>
      </c>
      <c r="AS154">
        <v>130.30000000000001</v>
      </c>
      <c r="AU154">
        <v>130.19999999999999</v>
      </c>
      <c r="AW154">
        <v>140.1</v>
      </c>
      <c r="AY154">
        <v>131.69999999999999</v>
      </c>
      <c r="BA154">
        <v>132.6</v>
      </c>
      <c r="BC154">
        <v>138.69999999999999</v>
      </c>
    </row>
    <row r="155" spans="3:55" x14ac:dyDescent="0.3">
      <c r="C155">
        <v>139.69999999999999</v>
      </c>
      <c r="E155">
        <v>148</v>
      </c>
      <c r="G155">
        <v>138.80000000000001</v>
      </c>
      <c r="I155">
        <v>142</v>
      </c>
      <c r="K155">
        <v>127.4</v>
      </c>
      <c r="M155">
        <v>143</v>
      </c>
      <c r="O155">
        <v>153</v>
      </c>
      <c r="Q155">
        <v>143.1</v>
      </c>
      <c r="S155">
        <v>116.8</v>
      </c>
      <c r="U155">
        <v>140.80000000000001</v>
      </c>
      <c r="W155">
        <v>133.69999999999999</v>
      </c>
      <c r="Y155">
        <v>148.1</v>
      </c>
      <c r="AA155">
        <v>141.5</v>
      </c>
      <c r="AC155">
        <v>150.5</v>
      </c>
      <c r="AE155">
        <v>141.6</v>
      </c>
      <c r="AG155">
        <v>135.1</v>
      </c>
      <c r="AI155">
        <v>141.1</v>
      </c>
      <c r="AM155">
        <v>138.30000000000001</v>
      </c>
      <c r="AO155">
        <v>136.6</v>
      </c>
      <c r="AQ155">
        <v>134.9</v>
      </c>
      <c r="AS155">
        <v>130.80000000000001</v>
      </c>
      <c r="AU155">
        <v>130.4</v>
      </c>
      <c r="AW155">
        <v>140.19999999999999</v>
      </c>
      <c r="AY155">
        <v>132</v>
      </c>
      <c r="BA155">
        <v>132.80000000000001</v>
      </c>
      <c r="BC155">
        <v>138.9</v>
      </c>
    </row>
    <row r="156" spans="3:55" x14ac:dyDescent="0.3">
      <c r="C156">
        <v>140.1</v>
      </c>
      <c r="E156">
        <v>148.1</v>
      </c>
      <c r="G156">
        <v>139.1</v>
      </c>
      <c r="I156">
        <v>142.1</v>
      </c>
      <c r="K156">
        <v>127.5</v>
      </c>
      <c r="M156">
        <v>143.1</v>
      </c>
      <c r="O156">
        <v>153.19999999999999</v>
      </c>
      <c r="Q156">
        <v>143.9</v>
      </c>
      <c r="S156">
        <v>116.9</v>
      </c>
      <c r="U156">
        <v>140.9</v>
      </c>
      <c r="W156">
        <v>133.80000000000001</v>
      </c>
      <c r="Y156">
        <v>148.30000000000001</v>
      </c>
      <c r="AA156">
        <v>141.69999999999999</v>
      </c>
      <c r="AC156">
        <v>150.80000000000001</v>
      </c>
      <c r="AE156">
        <v>142</v>
      </c>
      <c r="AG156">
        <v>135.19999999999999</v>
      </c>
      <c r="AI156">
        <v>141.4</v>
      </c>
      <c r="AM156">
        <v>138.4</v>
      </c>
      <c r="AO156">
        <v>136.80000000000001</v>
      </c>
      <c r="AQ156">
        <v>135.19999999999999</v>
      </c>
      <c r="AS156">
        <v>130.9</v>
      </c>
      <c r="AU156">
        <v>130.6</v>
      </c>
      <c r="AW156">
        <v>140.4</v>
      </c>
      <c r="AY156">
        <v>132.19999999999999</v>
      </c>
      <c r="BA156">
        <v>133.19999999999999</v>
      </c>
      <c r="BC156">
        <v>139</v>
      </c>
    </row>
    <row r="157" spans="3:55" x14ac:dyDescent="0.3">
      <c r="C157">
        <v>140.4</v>
      </c>
      <c r="E157">
        <v>148.19999999999999</v>
      </c>
      <c r="G157">
        <v>139.19999999999999</v>
      </c>
      <c r="I157">
        <v>142.19999999999999</v>
      </c>
      <c r="K157">
        <v>129.9</v>
      </c>
      <c r="M157">
        <v>143.19999999999999</v>
      </c>
      <c r="O157">
        <v>153.5</v>
      </c>
      <c r="Q157">
        <v>144</v>
      </c>
      <c r="S157">
        <v>117.1</v>
      </c>
      <c r="U157">
        <v>141</v>
      </c>
      <c r="W157">
        <v>134</v>
      </c>
      <c r="Y157">
        <v>148.69999999999999</v>
      </c>
      <c r="AA157">
        <v>142</v>
      </c>
      <c r="AC157">
        <v>151.6</v>
      </c>
      <c r="AE157">
        <v>142.4</v>
      </c>
      <c r="AG157">
        <v>135.5</v>
      </c>
      <c r="AI157">
        <v>141.6</v>
      </c>
      <c r="AM157">
        <v>138.5</v>
      </c>
      <c r="AO157">
        <v>137.19999999999999</v>
      </c>
      <c r="AQ157">
        <v>135.69999999999999</v>
      </c>
      <c r="AS157">
        <v>131.19999999999999</v>
      </c>
      <c r="AU157">
        <v>130.69999999999999</v>
      </c>
      <c r="AW157">
        <v>141.1</v>
      </c>
      <c r="AY157">
        <v>132.5</v>
      </c>
      <c r="BA157">
        <v>133.30000000000001</v>
      </c>
      <c r="BC157">
        <v>139.1</v>
      </c>
    </row>
    <row r="158" spans="3:55" x14ac:dyDescent="0.3">
      <c r="C158">
        <v>140.69999999999999</v>
      </c>
      <c r="E158">
        <v>148.4</v>
      </c>
      <c r="G158">
        <v>139.30000000000001</v>
      </c>
      <c r="I158">
        <v>142.30000000000001</v>
      </c>
      <c r="K158">
        <v>131.19999999999999</v>
      </c>
      <c r="M158">
        <v>143.30000000000001</v>
      </c>
      <c r="O158">
        <v>153.6</v>
      </c>
      <c r="Q158">
        <v>144.5</v>
      </c>
      <c r="S158">
        <v>117.2</v>
      </c>
      <c r="U158">
        <v>141.1</v>
      </c>
      <c r="W158">
        <v>134.19999999999999</v>
      </c>
      <c r="Y158">
        <v>148.9</v>
      </c>
      <c r="AA158">
        <v>142.1</v>
      </c>
      <c r="AC158">
        <v>152.1</v>
      </c>
      <c r="AE158">
        <v>142.5</v>
      </c>
      <c r="AG158">
        <v>135.6</v>
      </c>
      <c r="AI158">
        <v>141.80000000000001</v>
      </c>
      <c r="AM158">
        <v>138.9</v>
      </c>
      <c r="AO158">
        <v>137.30000000000001</v>
      </c>
      <c r="AQ158">
        <v>135.80000000000001</v>
      </c>
      <c r="AS158">
        <v>131.4</v>
      </c>
      <c r="AU158">
        <v>131.30000000000001</v>
      </c>
      <c r="AW158">
        <v>141.19999999999999</v>
      </c>
      <c r="AY158">
        <v>132.6</v>
      </c>
      <c r="BA158">
        <v>133.6</v>
      </c>
      <c r="BC158">
        <v>139.30000000000001</v>
      </c>
    </row>
    <row r="159" spans="3:55" x14ac:dyDescent="0.3">
      <c r="C159">
        <v>140.9</v>
      </c>
      <c r="E159">
        <v>148.6</v>
      </c>
      <c r="G159">
        <v>139.6</v>
      </c>
      <c r="I159">
        <v>142.4</v>
      </c>
      <c r="K159">
        <v>131.4</v>
      </c>
      <c r="M159">
        <v>143.69999999999999</v>
      </c>
      <c r="O159">
        <v>153.9</v>
      </c>
      <c r="Q159">
        <v>148</v>
      </c>
      <c r="S159">
        <v>117.3</v>
      </c>
      <c r="U159">
        <v>141.19999999999999</v>
      </c>
      <c r="W159">
        <v>134.6</v>
      </c>
      <c r="Y159">
        <v>149</v>
      </c>
      <c r="AA159">
        <v>142.4</v>
      </c>
      <c r="AC159">
        <v>153.19999999999999</v>
      </c>
      <c r="AE159">
        <v>142.69999999999999</v>
      </c>
      <c r="AG159">
        <v>135.80000000000001</v>
      </c>
      <c r="AI159">
        <v>142</v>
      </c>
      <c r="AM159">
        <v>139.19999999999999</v>
      </c>
      <c r="AO159">
        <v>137.4</v>
      </c>
      <c r="AQ159">
        <v>136</v>
      </c>
      <c r="AS159">
        <v>131.6</v>
      </c>
      <c r="AU159">
        <v>131.5</v>
      </c>
      <c r="AW159">
        <v>141.4</v>
      </c>
      <c r="AY159">
        <v>132.80000000000001</v>
      </c>
      <c r="BA159">
        <v>133.9</v>
      </c>
      <c r="BC159">
        <v>139.5</v>
      </c>
    </row>
    <row r="160" spans="3:55" x14ac:dyDescent="0.3">
      <c r="C160">
        <v>141</v>
      </c>
      <c r="E160">
        <v>148.69999999999999</v>
      </c>
      <c r="G160">
        <v>139.9</v>
      </c>
      <c r="I160">
        <v>142.5</v>
      </c>
      <c r="K160">
        <v>131.6</v>
      </c>
      <c r="M160">
        <v>143.80000000000001</v>
      </c>
      <c r="O160">
        <v>154</v>
      </c>
      <c r="Q160">
        <v>148.1</v>
      </c>
      <c r="S160">
        <v>117.4</v>
      </c>
      <c r="U160">
        <v>141.30000000000001</v>
      </c>
      <c r="W160">
        <v>134.69999999999999</v>
      </c>
      <c r="Y160">
        <v>149.30000000000001</v>
      </c>
      <c r="AA160">
        <v>142.69999999999999</v>
      </c>
      <c r="AC160">
        <v>153.30000000000001</v>
      </c>
      <c r="AE160">
        <v>143</v>
      </c>
      <c r="AG160">
        <v>136.1</v>
      </c>
      <c r="AI160">
        <v>142.19999999999999</v>
      </c>
      <c r="AM160">
        <v>139.30000000000001</v>
      </c>
      <c r="AO160">
        <v>137.69999999999999</v>
      </c>
      <c r="AQ160">
        <v>136.1</v>
      </c>
      <c r="AS160">
        <v>131.69999999999999</v>
      </c>
      <c r="AU160">
        <v>131.69999999999999</v>
      </c>
      <c r="AW160">
        <v>141.5</v>
      </c>
      <c r="AY160">
        <v>133</v>
      </c>
      <c r="BA160">
        <v>134.19999999999999</v>
      </c>
      <c r="BC160">
        <v>139.6</v>
      </c>
    </row>
    <row r="161" spans="3:55" x14ac:dyDescent="0.3">
      <c r="C161">
        <v>141.4</v>
      </c>
      <c r="E161">
        <v>148.80000000000001</v>
      </c>
      <c r="G161">
        <v>140</v>
      </c>
      <c r="I161">
        <v>142.6</v>
      </c>
      <c r="K161">
        <v>132</v>
      </c>
      <c r="M161">
        <v>143.9</v>
      </c>
      <c r="O161">
        <v>154.19999999999999</v>
      </c>
      <c r="Q161">
        <v>149.30000000000001</v>
      </c>
      <c r="S161">
        <v>117.9</v>
      </c>
      <c r="U161">
        <v>141.4</v>
      </c>
      <c r="W161">
        <v>134.9</v>
      </c>
      <c r="Y161">
        <v>149.4</v>
      </c>
      <c r="AA161">
        <v>143</v>
      </c>
      <c r="AC161">
        <v>153.6</v>
      </c>
      <c r="AE161">
        <v>143.1</v>
      </c>
      <c r="AG161">
        <v>136.19999999999999</v>
      </c>
      <c r="AI161">
        <v>142.30000000000001</v>
      </c>
      <c r="AM161">
        <v>139.5</v>
      </c>
      <c r="AO161">
        <v>137.9</v>
      </c>
      <c r="AQ161">
        <v>136.19999999999999</v>
      </c>
      <c r="AS161">
        <v>132.1</v>
      </c>
      <c r="AU161">
        <v>131.80000000000001</v>
      </c>
      <c r="AW161">
        <v>141.6</v>
      </c>
      <c r="AY161">
        <v>133.1</v>
      </c>
      <c r="BA161">
        <v>134.5</v>
      </c>
      <c r="BC161">
        <v>139.80000000000001</v>
      </c>
    </row>
    <row r="162" spans="3:55" x14ac:dyDescent="0.3">
      <c r="C162">
        <v>141.80000000000001</v>
      </c>
      <c r="E162">
        <v>149.1</v>
      </c>
      <c r="G162">
        <v>140.19999999999999</v>
      </c>
      <c r="I162">
        <v>142.9</v>
      </c>
      <c r="K162">
        <v>132.9</v>
      </c>
      <c r="M162">
        <v>144.30000000000001</v>
      </c>
      <c r="O162">
        <v>154.5</v>
      </c>
      <c r="Q162">
        <v>149.5</v>
      </c>
      <c r="S162">
        <v>118</v>
      </c>
      <c r="U162">
        <v>141.5</v>
      </c>
      <c r="W162">
        <v>135</v>
      </c>
      <c r="Y162">
        <v>149.5</v>
      </c>
      <c r="AA162">
        <v>143.80000000000001</v>
      </c>
      <c r="AC162">
        <v>154.19999999999999</v>
      </c>
      <c r="AE162">
        <v>143.30000000000001</v>
      </c>
      <c r="AG162">
        <v>136.30000000000001</v>
      </c>
      <c r="AI162">
        <v>142.4</v>
      </c>
      <c r="AM162">
        <v>139.69999999999999</v>
      </c>
      <c r="AO162">
        <v>138.1</v>
      </c>
      <c r="AQ162">
        <v>136.69999999999999</v>
      </c>
      <c r="AS162">
        <v>133.9</v>
      </c>
      <c r="AU162">
        <v>131.9</v>
      </c>
      <c r="AW162">
        <v>142.1</v>
      </c>
      <c r="AY162">
        <v>133.19999999999999</v>
      </c>
      <c r="BA162">
        <v>134.69999999999999</v>
      </c>
      <c r="BC162">
        <v>139.9</v>
      </c>
    </row>
    <row r="163" spans="3:55" x14ac:dyDescent="0.3">
      <c r="C163">
        <v>142.1</v>
      </c>
      <c r="E163">
        <v>149.19999999999999</v>
      </c>
      <c r="G163">
        <v>140.30000000000001</v>
      </c>
      <c r="I163">
        <v>143.19999999999999</v>
      </c>
      <c r="K163">
        <v>133.30000000000001</v>
      </c>
      <c r="M163">
        <v>144.4</v>
      </c>
      <c r="O163">
        <v>155.1</v>
      </c>
      <c r="Q163">
        <v>149.80000000000001</v>
      </c>
      <c r="S163">
        <v>118.1</v>
      </c>
      <c r="U163">
        <v>141.6</v>
      </c>
      <c r="W163">
        <v>135.1</v>
      </c>
      <c r="Y163">
        <v>149.6</v>
      </c>
      <c r="AA163">
        <v>144</v>
      </c>
      <c r="AC163">
        <v>154.6</v>
      </c>
      <c r="AE163">
        <v>143.5</v>
      </c>
      <c r="AG163">
        <v>136.4</v>
      </c>
      <c r="AI163">
        <v>142.6</v>
      </c>
      <c r="AM163">
        <v>140.30000000000001</v>
      </c>
      <c r="AO163">
        <v>138.30000000000001</v>
      </c>
      <c r="AQ163">
        <v>136.80000000000001</v>
      </c>
      <c r="AS163">
        <v>135</v>
      </c>
      <c r="AU163">
        <v>132.19999999999999</v>
      </c>
      <c r="AW163">
        <v>142.69999999999999</v>
      </c>
      <c r="AY163">
        <v>133.4</v>
      </c>
      <c r="BA163">
        <v>135.1</v>
      </c>
      <c r="BC163">
        <v>140</v>
      </c>
    </row>
    <row r="164" spans="3:55" x14ac:dyDescent="0.3">
      <c r="C164">
        <v>142.5</v>
      </c>
      <c r="E164">
        <v>149.30000000000001</v>
      </c>
      <c r="G164">
        <v>140.4</v>
      </c>
      <c r="I164">
        <v>143.30000000000001</v>
      </c>
      <c r="K164">
        <v>133.4</v>
      </c>
      <c r="M164">
        <v>144.5</v>
      </c>
      <c r="O164">
        <v>155.19999999999999</v>
      </c>
      <c r="Q164">
        <v>149.9</v>
      </c>
      <c r="S164">
        <v>118.2</v>
      </c>
      <c r="U164">
        <v>141.69999999999999</v>
      </c>
      <c r="W164">
        <v>135.30000000000001</v>
      </c>
      <c r="Y164">
        <v>150.30000000000001</v>
      </c>
      <c r="AA164">
        <v>144.69999999999999</v>
      </c>
      <c r="AC164">
        <v>154.69999999999999</v>
      </c>
      <c r="AE164">
        <v>143.80000000000001</v>
      </c>
      <c r="AG164">
        <v>136.6</v>
      </c>
      <c r="AI164">
        <v>142.69999999999999</v>
      </c>
      <c r="AM164">
        <v>140.6</v>
      </c>
      <c r="AO164">
        <v>138.4</v>
      </c>
      <c r="AQ164">
        <v>137</v>
      </c>
      <c r="AS164">
        <v>135.1</v>
      </c>
      <c r="AU164">
        <v>132.30000000000001</v>
      </c>
      <c r="AW164">
        <v>142.80000000000001</v>
      </c>
      <c r="AY164">
        <v>133.5</v>
      </c>
      <c r="BA164">
        <v>135.30000000000001</v>
      </c>
      <c r="BC164">
        <v>140.1</v>
      </c>
    </row>
    <row r="165" spans="3:55" x14ac:dyDescent="0.3">
      <c r="C165">
        <v>142.69999999999999</v>
      </c>
      <c r="E165">
        <v>149.4</v>
      </c>
      <c r="G165">
        <v>140.5</v>
      </c>
      <c r="I165">
        <v>143.4</v>
      </c>
      <c r="K165">
        <v>133.69999999999999</v>
      </c>
      <c r="M165">
        <v>145.4</v>
      </c>
      <c r="O165">
        <v>155.30000000000001</v>
      </c>
      <c r="Q165">
        <v>150</v>
      </c>
      <c r="S165">
        <v>118.5</v>
      </c>
      <c r="U165">
        <v>142.5</v>
      </c>
      <c r="W165">
        <v>135.6</v>
      </c>
      <c r="Y165">
        <v>150.4</v>
      </c>
      <c r="AA165">
        <v>145.5</v>
      </c>
      <c r="AC165">
        <v>154.9</v>
      </c>
      <c r="AE165">
        <v>144</v>
      </c>
      <c r="AG165">
        <v>136.69999999999999</v>
      </c>
      <c r="AI165">
        <v>143</v>
      </c>
      <c r="AM165">
        <v>140.9</v>
      </c>
      <c r="AO165">
        <v>138.6</v>
      </c>
      <c r="AQ165">
        <v>137.30000000000001</v>
      </c>
      <c r="AS165">
        <v>135.19999999999999</v>
      </c>
      <c r="AU165">
        <v>132.6</v>
      </c>
      <c r="AW165">
        <v>143.69999999999999</v>
      </c>
      <c r="AY165">
        <v>133.69999999999999</v>
      </c>
      <c r="BA165">
        <v>135.6</v>
      </c>
      <c r="BC165">
        <v>140.19999999999999</v>
      </c>
    </row>
    <row r="166" spans="3:55" x14ac:dyDescent="0.3">
      <c r="C166">
        <v>142.80000000000001</v>
      </c>
      <c r="E166">
        <v>149.5</v>
      </c>
      <c r="G166">
        <v>140.6</v>
      </c>
      <c r="I166">
        <v>143.5</v>
      </c>
      <c r="K166">
        <v>134.4</v>
      </c>
      <c r="M166">
        <v>145.5</v>
      </c>
      <c r="O166">
        <v>155.4</v>
      </c>
      <c r="Q166">
        <v>150.19999999999999</v>
      </c>
      <c r="S166">
        <v>118.6</v>
      </c>
      <c r="U166">
        <v>142.6</v>
      </c>
      <c r="W166">
        <v>135.80000000000001</v>
      </c>
      <c r="Y166">
        <v>151.19999999999999</v>
      </c>
      <c r="AA166">
        <v>145.6</v>
      </c>
      <c r="AC166">
        <v>155.1</v>
      </c>
      <c r="AE166">
        <v>144.30000000000001</v>
      </c>
      <c r="AG166">
        <v>136.80000000000001</v>
      </c>
      <c r="AI166">
        <v>143.1</v>
      </c>
      <c r="AM166">
        <v>141.1</v>
      </c>
      <c r="AO166">
        <v>138.69999999999999</v>
      </c>
      <c r="AQ166">
        <v>137.6</v>
      </c>
      <c r="AS166">
        <v>135.4</v>
      </c>
      <c r="AU166">
        <v>133</v>
      </c>
      <c r="AW166">
        <v>144</v>
      </c>
      <c r="AY166">
        <v>133.9</v>
      </c>
      <c r="BA166">
        <v>135.69999999999999</v>
      </c>
      <c r="BC166">
        <v>140.4</v>
      </c>
    </row>
    <row r="167" spans="3:55" x14ac:dyDescent="0.3">
      <c r="C167">
        <v>143.4</v>
      </c>
      <c r="E167">
        <v>149.69999999999999</v>
      </c>
      <c r="G167">
        <v>140.80000000000001</v>
      </c>
      <c r="I167">
        <v>143.69999999999999</v>
      </c>
      <c r="K167">
        <v>135.1</v>
      </c>
      <c r="M167">
        <v>145.69999999999999</v>
      </c>
      <c r="O167">
        <v>155.80000000000001</v>
      </c>
      <c r="Q167">
        <v>150.30000000000001</v>
      </c>
      <c r="S167">
        <v>118.8</v>
      </c>
      <c r="U167">
        <v>142.69999999999999</v>
      </c>
      <c r="W167">
        <v>136.1</v>
      </c>
      <c r="Y167">
        <v>151.30000000000001</v>
      </c>
      <c r="AA167">
        <v>145.9</v>
      </c>
      <c r="AC167">
        <v>156.1</v>
      </c>
      <c r="AE167">
        <v>144.69999999999999</v>
      </c>
      <c r="AG167">
        <v>137.30000000000001</v>
      </c>
      <c r="AI167">
        <v>143.30000000000001</v>
      </c>
      <c r="AM167">
        <v>141.19999999999999</v>
      </c>
      <c r="AO167">
        <v>139.1</v>
      </c>
      <c r="AQ167">
        <v>137.69999999999999</v>
      </c>
      <c r="AS167">
        <v>135.5</v>
      </c>
      <c r="AU167">
        <v>133.1</v>
      </c>
      <c r="AW167">
        <v>144.4</v>
      </c>
      <c r="AY167">
        <v>134</v>
      </c>
      <c r="BA167">
        <v>136</v>
      </c>
      <c r="BC167">
        <v>140.5</v>
      </c>
    </row>
    <row r="168" spans="3:55" x14ac:dyDescent="0.3">
      <c r="C168">
        <v>143.5</v>
      </c>
      <c r="E168">
        <v>150.1</v>
      </c>
      <c r="G168">
        <v>141.1</v>
      </c>
      <c r="I168">
        <v>143.9</v>
      </c>
      <c r="K168">
        <v>135.69999999999999</v>
      </c>
      <c r="M168">
        <v>145.9</v>
      </c>
      <c r="O168">
        <v>155.9</v>
      </c>
      <c r="Q168">
        <v>150.4</v>
      </c>
      <c r="S168">
        <v>118.9</v>
      </c>
      <c r="U168">
        <v>142.80000000000001</v>
      </c>
      <c r="W168">
        <v>136.5</v>
      </c>
      <c r="Y168">
        <v>151.4</v>
      </c>
      <c r="AA168">
        <v>147</v>
      </c>
      <c r="AC168">
        <v>156.19999999999999</v>
      </c>
      <c r="AE168">
        <v>145</v>
      </c>
      <c r="AG168">
        <v>137.4</v>
      </c>
      <c r="AI168">
        <v>143.5</v>
      </c>
      <c r="AM168">
        <v>141.4</v>
      </c>
      <c r="AO168">
        <v>139.4</v>
      </c>
      <c r="AQ168">
        <v>137.80000000000001</v>
      </c>
      <c r="AS168">
        <v>135.80000000000001</v>
      </c>
      <c r="AU168">
        <v>133.4</v>
      </c>
      <c r="AW168">
        <v>144.69999999999999</v>
      </c>
      <c r="AY168">
        <v>134.1</v>
      </c>
      <c r="BA168">
        <v>136.30000000000001</v>
      </c>
      <c r="BC168">
        <v>140.80000000000001</v>
      </c>
    </row>
    <row r="169" spans="3:55" x14ac:dyDescent="0.3">
      <c r="C169">
        <v>143.69999999999999</v>
      </c>
      <c r="E169">
        <v>150.5</v>
      </c>
      <c r="G169">
        <v>141.19999999999999</v>
      </c>
      <c r="I169">
        <v>144</v>
      </c>
      <c r="K169">
        <v>136.30000000000001</v>
      </c>
      <c r="M169">
        <v>146.19999999999999</v>
      </c>
      <c r="O169">
        <v>156.19999999999999</v>
      </c>
      <c r="Q169">
        <v>150.80000000000001</v>
      </c>
      <c r="S169">
        <v>119</v>
      </c>
      <c r="U169">
        <v>143.80000000000001</v>
      </c>
      <c r="W169">
        <v>136.69999999999999</v>
      </c>
      <c r="Y169">
        <v>151.69999999999999</v>
      </c>
      <c r="AA169">
        <v>147.69999999999999</v>
      </c>
      <c r="AC169">
        <v>156.30000000000001</v>
      </c>
      <c r="AE169">
        <v>145.30000000000001</v>
      </c>
      <c r="AG169">
        <v>137.69999999999999</v>
      </c>
      <c r="AI169">
        <v>143.9</v>
      </c>
      <c r="AM169">
        <v>141.9</v>
      </c>
      <c r="AO169">
        <v>139.5</v>
      </c>
      <c r="AQ169">
        <v>138.4</v>
      </c>
      <c r="AS169">
        <v>136</v>
      </c>
      <c r="AU169">
        <v>133.6</v>
      </c>
      <c r="AW169">
        <v>145.1</v>
      </c>
      <c r="AY169">
        <v>134.30000000000001</v>
      </c>
      <c r="BA169">
        <v>136.6</v>
      </c>
      <c r="BC169">
        <v>141</v>
      </c>
    </row>
    <row r="170" spans="3:55" x14ac:dyDescent="0.3">
      <c r="C170">
        <v>144.1</v>
      </c>
      <c r="E170">
        <v>150.80000000000001</v>
      </c>
      <c r="G170">
        <v>141.5</v>
      </c>
      <c r="I170">
        <v>144.1</v>
      </c>
      <c r="K170">
        <v>137.1</v>
      </c>
      <c r="M170">
        <v>146.30000000000001</v>
      </c>
      <c r="O170">
        <v>156.30000000000001</v>
      </c>
      <c r="Q170">
        <v>150.9</v>
      </c>
      <c r="S170">
        <v>119.1</v>
      </c>
      <c r="U170">
        <v>143.9</v>
      </c>
      <c r="W170">
        <v>136.80000000000001</v>
      </c>
      <c r="Y170">
        <v>151.80000000000001</v>
      </c>
      <c r="AA170">
        <v>148.19999999999999</v>
      </c>
      <c r="AC170">
        <v>156.4</v>
      </c>
      <c r="AE170">
        <v>145.9</v>
      </c>
      <c r="AG170">
        <v>138.1</v>
      </c>
      <c r="AI170">
        <v>144</v>
      </c>
      <c r="AM170">
        <v>142.30000000000001</v>
      </c>
      <c r="AO170">
        <v>139.69999999999999</v>
      </c>
      <c r="AQ170">
        <v>138.5</v>
      </c>
      <c r="AS170">
        <v>136.30000000000001</v>
      </c>
      <c r="AU170">
        <v>133.69999999999999</v>
      </c>
      <c r="AW170">
        <v>145.19999999999999</v>
      </c>
      <c r="AY170">
        <v>134.4</v>
      </c>
      <c r="BA170">
        <v>136.80000000000001</v>
      </c>
      <c r="BC170">
        <v>141.19999999999999</v>
      </c>
    </row>
    <row r="171" spans="3:55" x14ac:dyDescent="0.3">
      <c r="C171">
        <v>144.19999999999999</v>
      </c>
      <c r="E171">
        <v>151.1</v>
      </c>
      <c r="G171">
        <v>141.6</v>
      </c>
      <c r="I171">
        <v>144.6</v>
      </c>
      <c r="K171">
        <v>137.4</v>
      </c>
      <c r="M171">
        <v>146.4</v>
      </c>
      <c r="O171">
        <v>156.5</v>
      </c>
      <c r="Q171">
        <v>151.30000000000001</v>
      </c>
      <c r="S171">
        <v>119.2</v>
      </c>
      <c r="U171">
        <v>144</v>
      </c>
      <c r="W171">
        <v>137</v>
      </c>
      <c r="Y171">
        <v>152</v>
      </c>
      <c r="AA171">
        <v>148.30000000000001</v>
      </c>
      <c r="AC171">
        <v>156.9</v>
      </c>
      <c r="AE171">
        <v>146</v>
      </c>
      <c r="AG171">
        <v>138.19999999999999</v>
      </c>
      <c r="AI171">
        <v>144.19999999999999</v>
      </c>
      <c r="AM171">
        <v>142.4</v>
      </c>
      <c r="AO171">
        <v>139.80000000000001</v>
      </c>
      <c r="AQ171">
        <v>139</v>
      </c>
      <c r="AS171">
        <v>136.9</v>
      </c>
      <c r="AU171">
        <v>134</v>
      </c>
      <c r="AW171">
        <v>145.30000000000001</v>
      </c>
      <c r="AY171">
        <v>134.80000000000001</v>
      </c>
      <c r="BA171">
        <v>136.9</v>
      </c>
      <c r="BC171">
        <v>141.5</v>
      </c>
    </row>
    <row r="172" spans="3:55" x14ac:dyDescent="0.3">
      <c r="C172">
        <v>144.30000000000001</v>
      </c>
      <c r="E172">
        <v>151.4</v>
      </c>
      <c r="G172">
        <v>142.5</v>
      </c>
      <c r="I172">
        <v>144.69999999999999</v>
      </c>
      <c r="K172">
        <v>138</v>
      </c>
      <c r="M172">
        <v>146.5</v>
      </c>
      <c r="O172">
        <v>156.6</v>
      </c>
      <c r="Q172">
        <v>152</v>
      </c>
      <c r="S172">
        <v>119.3</v>
      </c>
      <c r="U172">
        <v>144.1</v>
      </c>
      <c r="W172">
        <v>137.4</v>
      </c>
      <c r="Y172">
        <v>152.30000000000001</v>
      </c>
      <c r="AA172">
        <v>148.9</v>
      </c>
      <c r="AC172">
        <v>157</v>
      </c>
      <c r="AE172">
        <v>146.1</v>
      </c>
      <c r="AG172">
        <v>138.4</v>
      </c>
      <c r="AI172">
        <v>144.5</v>
      </c>
      <c r="AM172">
        <v>142.6</v>
      </c>
      <c r="AO172">
        <v>139.9</v>
      </c>
      <c r="AQ172">
        <v>139.19999999999999</v>
      </c>
      <c r="AS172">
        <v>138.5</v>
      </c>
      <c r="AU172">
        <v>134.30000000000001</v>
      </c>
      <c r="AW172">
        <v>145.5</v>
      </c>
      <c r="AY172">
        <v>134.9</v>
      </c>
      <c r="BA172">
        <v>137.4</v>
      </c>
      <c r="BC172">
        <v>141.80000000000001</v>
      </c>
    </row>
    <row r="173" spans="3:55" x14ac:dyDescent="0.3">
      <c r="C173">
        <v>144.4</v>
      </c>
      <c r="E173">
        <v>151.9</v>
      </c>
      <c r="G173">
        <v>142.6</v>
      </c>
      <c r="I173">
        <v>144.9</v>
      </c>
      <c r="K173">
        <v>138.19999999999999</v>
      </c>
      <c r="M173">
        <v>146.6</v>
      </c>
      <c r="O173">
        <v>156.80000000000001</v>
      </c>
      <c r="Q173">
        <v>152.19999999999999</v>
      </c>
      <c r="S173">
        <v>119.4</v>
      </c>
      <c r="U173">
        <v>144.19999999999999</v>
      </c>
      <c r="W173">
        <v>137.5</v>
      </c>
      <c r="Y173">
        <v>152.6</v>
      </c>
      <c r="AA173">
        <v>149.1</v>
      </c>
      <c r="AC173">
        <v>157.30000000000001</v>
      </c>
      <c r="AE173">
        <v>146.30000000000001</v>
      </c>
      <c r="AG173">
        <v>138.69999999999999</v>
      </c>
      <c r="AI173">
        <v>144.6</v>
      </c>
      <c r="AM173">
        <v>142.69999999999999</v>
      </c>
      <c r="AO173">
        <v>140.1</v>
      </c>
      <c r="AQ173">
        <v>139.4</v>
      </c>
      <c r="AS173">
        <v>139.6</v>
      </c>
      <c r="AU173">
        <v>134.5</v>
      </c>
      <c r="AW173">
        <v>145.80000000000001</v>
      </c>
      <c r="AY173">
        <v>135.1</v>
      </c>
      <c r="BA173">
        <v>137.69999999999999</v>
      </c>
      <c r="BC173">
        <v>141.9</v>
      </c>
    </row>
    <row r="174" spans="3:55" x14ac:dyDescent="0.3">
      <c r="C174">
        <v>144.6</v>
      </c>
      <c r="E174">
        <v>152</v>
      </c>
      <c r="G174">
        <v>142.9</v>
      </c>
      <c r="I174">
        <v>145.4</v>
      </c>
      <c r="K174">
        <v>139.80000000000001</v>
      </c>
      <c r="M174">
        <v>146.69999999999999</v>
      </c>
      <c r="O174">
        <v>156.9</v>
      </c>
      <c r="Q174">
        <v>154.19999999999999</v>
      </c>
      <c r="S174">
        <v>119.5</v>
      </c>
      <c r="U174">
        <v>144.6</v>
      </c>
      <c r="W174">
        <v>137.69999999999999</v>
      </c>
      <c r="Y174">
        <v>152.80000000000001</v>
      </c>
      <c r="AA174">
        <v>149.5</v>
      </c>
      <c r="AC174">
        <v>157.5</v>
      </c>
      <c r="AE174">
        <v>146.4</v>
      </c>
      <c r="AG174">
        <v>138.80000000000001</v>
      </c>
      <c r="AI174">
        <v>144.69999999999999</v>
      </c>
      <c r="AM174">
        <v>142.9</v>
      </c>
      <c r="AO174">
        <v>140.4</v>
      </c>
      <c r="AQ174">
        <v>139.80000000000001</v>
      </c>
      <c r="AS174">
        <v>140.4</v>
      </c>
      <c r="AU174">
        <v>135</v>
      </c>
      <c r="AW174">
        <v>146</v>
      </c>
      <c r="AY174">
        <v>135.69999999999999</v>
      </c>
      <c r="BA174">
        <v>138.19999999999999</v>
      </c>
      <c r="BC174">
        <v>142</v>
      </c>
    </row>
    <row r="175" spans="3:55" x14ac:dyDescent="0.3">
      <c r="C175">
        <v>144.80000000000001</v>
      </c>
      <c r="E175">
        <v>152.5</v>
      </c>
      <c r="G175">
        <v>143.5</v>
      </c>
      <c r="I175">
        <v>145.6</v>
      </c>
      <c r="K175">
        <v>140.1</v>
      </c>
      <c r="M175">
        <v>146.80000000000001</v>
      </c>
      <c r="O175">
        <v>157.1</v>
      </c>
      <c r="Q175">
        <v>155.1</v>
      </c>
      <c r="S175">
        <v>119.6</v>
      </c>
      <c r="U175">
        <v>144.80000000000001</v>
      </c>
      <c r="W175">
        <v>137.80000000000001</v>
      </c>
      <c r="Y175">
        <v>152.9</v>
      </c>
      <c r="AA175">
        <v>149.6</v>
      </c>
      <c r="AC175">
        <v>157.69999999999999</v>
      </c>
      <c r="AE175">
        <v>146.80000000000001</v>
      </c>
      <c r="AG175">
        <v>139</v>
      </c>
      <c r="AI175">
        <v>144.9</v>
      </c>
      <c r="AM175">
        <v>143</v>
      </c>
      <c r="AO175">
        <v>140.80000000000001</v>
      </c>
      <c r="AQ175">
        <v>140</v>
      </c>
      <c r="AS175">
        <v>140.5</v>
      </c>
      <c r="AU175">
        <v>135.1</v>
      </c>
      <c r="AW175">
        <v>146.1</v>
      </c>
      <c r="AY175">
        <v>136.1</v>
      </c>
      <c r="BA175">
        <v>138.4</v>
      </c>
      <c r="BC175">
        <v>142.1</v>
      </c>
    </row>
    <row r="176" spans="3:55" x14ac:dyDescent="0.3">
      <c r="C176">
        <v>144.9</v>
      </c>
      <c r="E176">
        <v>153</v>
      </c>
      <c r="G176">
        <v>143.6</v>
      </c>
      <c r="I176">
        <v>145.69999999999999</v>
      </c>
      <c r="K176">
        <v>140.4</v>
      </c>
      <c r="M176">
        <v>146.9</v>
      </c>
      <c r="O176">
        <v>157.30000000000001</v>
      </c>
      <c r="Q176">
        <v>155.9</v>
      </c>
      <c r="S176">
        <v>119.7</v>
      </c>
      <c r="U176">
        <v>144.9</v>
      </c>
      <c r="W176">
        <v>138</v>
      </c>
      <c r="Y176">
        <v>153</v>
      </c>
      <c r="AA176">
        <v>149.80000000000001</v>
      </c>
      <c r="AC176">
        <v>157.9</v>
      </c>
      <c r="AE176">
        <v>147</v>
      </c>
      <c r="AG176">
        <v>139.1</v>
      </c>
      <c r="AI176">
        <v>145.19999999999999</v>
      </c>
      <c r="AM176">
        <v>143.1</v>
      </c>
      <c r="AO176">
        <v>140.9</v>
      </c>
      <c r="AQ176">
        <v>140.30000000000001</v>
      </c>
      <c r="AS176">
        <v>140.6</v>
      </c>
      <c r="AU176">
        <v>135.4</v>
      </c>
      <c r="AW176">
        <v>146.19999999999999</v>
      </c>
      <c r="AY176">
        <v>137.80000000000001</v>
      </c>
      <c r="BA176">
        <v>138.6</v>
      </c>
      <c r="BC176">
        <v>142.19999999999999</v>
      </c>
    </row>
    <row r="177" spans="3:55" x14ac:dyDescent="0.3">
      <c r="C177">
        <v>145.1</v>
      </c>
      <c r="E177">
        <v>154.1</v>
      </c>
      <c r="G177">
        <v>143.69999999999999</v>
      </c>
      <c r="I177">
        <v>145.9</v>
      </c>
      <c r="K177">
        <v>140.69999999999999</v>
      </c>
      <c r="M177">
        <v>147</v>
      </c>
      <c r="O177">
        <v>157.6</v>
      </c>
      <c r="Q177">
        <v>156</v>
      </c>
      <c r="S177">
        <v>119.8</v>
      </c>
      <c r="U177">
        <v>145.19999999999999</v>
      </c>
      <c r="W177">
        <v>138.5</v>
      </c>
      <c r="Y177">
        <v>153.19999999999999</v>
      </c>
      <c r="AA177">
        <v>150.1</v>
      </c>
      <c r="AC177">
        <v>158.30000000000001</v>
      </c>
      <c r="AE177">
        <v>147.19999999999999</v>
      </c>
      <c r="AG177">
        <v>139.19999999999999</v>
      </c>
      <c r="AI177">
        <v>145.6</v>
      </c>
      <c r="AM177">
        <v>143.6</v>
      </c>
      <c r="AO177">
        <v>141.80000000000001</v>
      </c>
      <c r="AQ177">
        <v>140.80000000000001</v>
      </c>
      <c r="AS177">
        <v>140.69999999999999</v>
      </c>
      <c r="AU177">
        <v>135.9</v>
      </c>
      <c r="AW177">
        <v>146.5</v>
      </c>
      <c r="AY177">
        <v>138.4</v>
      </c>
      <c r="BA177">
        <v>138.69999999999999</v>
      </c>
      <c r="BC177">
        <v>142.4</v>
      </c>
    </row>
    <row r="178" spans="3:55" x14ac:dyDescent="0.3">
      <c r="C178">
        <v>145.4</v>
      </c>
      <c r="E178">
        <v>156.69999999999999</v>
      </c>
      <c r="G178">
        <v>143.80000000000001</v>
      </c>
      <c r="I178">
        <v>146.19999999999999</v>
      </c>
      <c r="K178">
        <v>142.6</v>
      </c>
      <c r="M178">
        <v>147.19999999999999</v>
      </c>
      <c r="O178">
        <v>157.69999999999999</v>
      </c>
      <c r="Q178">
        <v>156.80000000000001</v>
      </c>
      <c r="S178">
        <v>119.9</v>
      </c>
      <c r="U178">
        <v>145.30000000000001</v>
      </c>
      <c r="W178">
        <v>138.6</v>
      </c>
      <c r="Y178">
        <v>153.5</v>
      </c>
      <c r="AA178">
        <v>150.5</v>
      </c>
      <c r="AC178">
        <v>159.19999999999999</v>
      </c>
      <c r="AE178">
        <v>147.30000000000001</v>
      </c>
      <c r="AG178">
        <v>139.30000000000001</v>
      </c>
      <c r="AI178">
        <v>146.1</v>
      </c>
      <c r="AM178">
        <v>143.69999999999999</v>
      </c>
      <c r="AO178">
        <v>142.19999999999999</v>
      </c>
      <c r="AQ178">
        <v>141.5</v>
      </c>
      <c r="AS178">
        <v>141.4</v>
      </c>
      <c r="AU178">
        <v>136</v>
      </c>
      <c r="AW178">
        <v>146.6</v>
      </c>
      <c r="AY178">
        <v>138.80000000000001</v>
      </c>
      <c r="BA178">
        <v>139.5</v>
      </c>
      <c r="BC178">
        <v>142.5</v>
      </c>
    </row>
    <row r="179" spans="3:55" x14ac:dyDescent="0.3">
      <c r="C179">
        <v>145.6</v>
      </c>
      <c r="E179">
        <v>158.30000000000001</v>
      </c>
      <c r="G179">
        <v>144.69999999999999</v>
      </c>
      <c r="I179">
        <v>146.5</v>
      </c>
      <c r="K179">
        <v>142.69999999999999</v>
      </c>
      <c r="M179">
        <v>147.30000000000001</v>
      </c>
      <c r="O179">
        <v>158.19999999999999</v>
      </c>
      <c r="Q179">
        <v>156.9</v>
      </c>
      <c r="S179">
        <v>120</v>
      </c>
      <c r="U179">
        <v>145.4</v>
      </c>
      <c r="W179">
        <v>138.69999999999999</v>
      </c>
      <c r="Y179">
        <v>153.80000000000001</v>
      </c>
      <c r="AA179">
        <v>150.9</v>
      </c>
      <c r="AC179">
        <v>159.30000000000001</v>
      </c>
      <c r="AE179">
        <v>147.6</v>
      </c>
      <c r="AG179">
        <v>139.4</v>
      </c>
      <c r="AI179">
        <v>146.19999999999999</v>
      </c>
      <c r="AM179">
        <v>143.80000000000001</v>
      </c>
      <c r="AO179">
        <v>143.1</v>
      </c>
      <c r="AQ179">
        <v>141.9</v>
      </c>
      <c r="AS179">
        <v>141.69999999999999</v>
      </c>
      <c r="AU179">
        <v>136.19999999999999</v>
      </c>
      <c r="AW179">
        <v>146.69999999999999</v>
      </c>
      <c r="AY179">
        <v>139</v>
      </c>
      <c r="BA179">
        <v>139.80000000000001</v>
      </c>
      <c r="BC179">
        <v>142.9</v>
      </c>
    </row>
    <row r="180" spans="3:55" x14ac:dyDescent="0.3">
      <c r="C180">
        <v>146</v>
      </c>
      <c r="E180">
        <v>158.5</v>
      </c>
      <c r="G180">
        <v>144.80000000000001</v>
      </c>
      <c r="I180">
        <v>146.69999999999999</v>
      </c>
      <c r="K180">
        <v>144.1</v>
      </c>
      <c r="M180">
        <v>147.4</v>
      </c>
      <c r="O180">
        <v>158.4</v>
      </c>
      <c r="Q180">
        <v>158.30000000000001</v>
      </c>
      <c r="S180">
        <v>120.2</v>
      </c>
      <c r="U180">
        <v>145.5</v>
      </c>
      <c r="W180">
        <v>139.19999999999999</v>
      </c>
      <c r="Y180">
        <v>153.9</v>
      </c>
      <c r="AA180">
        <v>151.4</v>
      </c>
      <c r="AC180">
        <v>159.6</v>
      </c>
      <c r="AE180">
        <v>147.69999999999999</v>
      </c>
      <c r="AG180">
        <v>139.69999999999999</v>
      </c>
      <c r="AI180">
        <v>146.4</v>
      </c>
      <c r="AM180">
        <v>144.1</v>
      </c>
      <c r="AO180">
        <v>143.19999999999999</v>
      </c>
      <c r="AQ180">
        <v>142.1</v>
      </c>
      <c r="AS180">
        <v>141.9</v>
      </c>
      <c r="AU180">
        <v>136.5</v>
      </c>
      <c r="AW180">
        <v>146.9</v>
      </c>
      <c r="AY180">
        <v>139.5</v>
      </c>
      <c r="BA180">
        <v>140.1</v>
      </c>
      <c r="BC180">
        <v>143.30000000000001</v>
      </c>
    </row>
    <row r="181" spans="3:55" x14ac:dyDescent="0.3">
      <c r="C181">
        <v>146.1</v>
      </c>
      <c r="E181">
        <v>158.69999999999999</v>
      </c>
      <c r="G181">
        <v>145.19999999999999</v>
      </c>
      <c r="I181">
        <v>147.1</v>
      </c>
      <c r="K181">
        <v>145.4</v>
      </c>
      <c r="M181">
        <v>147.69999999999999</v>
      </c>
      <c r="O181">
        <v>158.80000000000001</v>
      </c>
      <c r="Q181">
        <v>158.69999999999999</v>
      </c>
      <c r="S181">
        <v>120.3</v>
      </c>
      <c r="U181">
        <v>146.30000000000001</v>
      </c>
      <c r="W181">
        <v>139.30000000000001</v>
      </c>
      <c r="Y181">
        <v>154.30000000000001</v>
      </c>
      <c r="AA181">
        <v>151.69999999999999</v>
      </c>
      <c r="AC181">
        <v>159.69999999999999</v>
      </c>
      <c r="AE181">
        <v>147.9</v>
      </c>
      <c r="AG181">
        <v>139.9</v>
      </c>
      <c r="AI181">
        <v>146.5</v>
      </c>
      <c r="AM181">
        <v>144.30000000000001</v>
      </c>
      <c r="AO181">
        <v>143.6</v>
      </c>
      <c r="AQ181">
        <v>142.4</v>
      </c>
      <c r="AS181">
        <v>142.1</v>
      </c>
      <c r="AU181">
        <v>136.69999999999999</v>
      </c>
      <c r="AW181">
        <v>147.6</v>
      </c>
      <c r="AY181">
        <v>139.69999999999999</v>
      </c>
      <c r="BA181">
        <v>140.19999999999999</v>
      </c>
      <c r="BC181">
        <v>143.6</v>
      </c>
    </row>
    <row r="182" spans="3:55" x14ac:dyDescent="0.3">
      <c r="C182">
        <v>146.19999999999999</v>
      </c>
      <c r="E182">
        <v>159.5</v>
      </c>
      <c r="G182">
        <v>145.30000000000001</v>
      </c>
      <c r="I182">
        <v>147.5</v>
      </c>
      <c r="K182">
        <v>146.6</v>
      </c>
      <c r="M182">
        <v>147.80000000000001</v>
      </c>
      <c r="O182">
        <v>158.9</v>
      </c>
      <c r="Q182">
        <v>158.80000000000001</v>
      </c>
      <c r="S182">
        <v>120.4</v>
      </c>
      <c r="U182">
        <v>147</v>
      </c>
      <c r="W182">
        <v>139.4</v>
      </c>
      <c r="Y182">
        <v>154.5</v>
      </c>
      <c r="AA182">
        <v>151.9</v>
      </c>
      <c r="AC182">
        <v>160.30000000000001</v>
      </c>
      <c r="AE182">
        <v>148</v>
      </c>
      <c r="AG182">
        <v>140.19999999999999</v>
      </c>
      <c r="AI182">
        <v>146.69999999999999</v>
      </c>
      <c r="AM182">
        <v>144.6</v>
      </c>
      <c r="AO182">
        <v>143.69999999999999</v>
      </c>
      <c r="AQ182">
        <v>142.80000000000001</v>
      </c>
      <c r="AS182">
        <v>143.6</v>
      </c>
      <c r="AU182">
        <v>136.80000000000001</v>
      </c>
      <c r="AW182">
        <v>147.80000000000001</v>
      </c>
      <c r="AY182">
        <v>139.80000000000001</v>
      </c>
      <c r="BA182">
        <v>140.69999999999999</v>
      </c>
      <c r="BC182">
        <v>144.19999999999999</v>
      </c>
    </row>
    <row r="183" spans="3:55" x14ac:dyDescent="0.3">
      <c r="C183">
        <v>146.30000000000001</v>
      </c>
      <c r="E183">
        <v>159.6</v>
      </c>
      <c r="G183">
        <v>145.6</v>
      </c>
      <c r="I183">
        <v>148.30000000000001</v>
      </c>
      <c r="K183">
        <v>150</v>
      </c>
      <c r="M183">
        <v>147.9</v>
      </c>
      <c r="O183">
        <v>159.1</v>
      </c>
      <c r="Q183">
        <v>159.19999999999999</v>
      </c>
      <c r="S183">
        <v>120.5</v>
      </c>
      <c r="U183">
        <v>147.30000000000001</v>
      </c>
      <c r="W183">
        <v>139.69999999999999</v>
      </c>
      <c r="Y183">
        <v>154.6</v>
      </c>
      <c r="AA183">
        <v>152.30000000000001</v>
      </c>
      <c r="AC183">
        <v>161</v>
      </c>
      <c r="AE183">
        <v>148.1</v>
      </c>
      <c r="AG183">
        <v>140.4</v>
      </c>
      <c r="AI183">
        <v>146.80000000000001</v>
      </c>
      <c r="AM183">
        <v>144.9</v>
      </c>
      <c r="AO183">
        <v>143.80000000000001</v>
      </c>
      <c r="AQ183">
        <v>143.19999999999999</v>
      </c>
      <c r="AS183">
        <v>144.6</v>
      </c>
      <c r="AU183">
        <v>137.1</v>
      </c>
      <c r="AW183">
        <v>148</v>
      </c>
      <c r="AY183">
        <v>140</v>
      </c>
      <c r="BA183">
        <v>141</v>
      </c>
      <c r="BC183">
        <v>144.69999999999999</v>
      </c>
    </row>
    <row r="184" spans="3:55" x14ac:dyDescent="0.3">
      <c r="C184">
        <v>146.4</v>
      </c>
      <c r="E184">
        <v>159.80000000000001</v>
      </c>
      <c r="G184">
        <v>145.9</v>
      </c>
      <c r="I184">
        <v>148.69999999999999</v>
      </c>
      <c r="K184">
        <v>150.9</v>
      </c>
      <c r="M184">
        <v>148</v>
      </c>
      <c r="O184">
        <v>159.19999999999999</v>
      </c>
      <c r="Q184">
        <v>159.5</v>
      </c>
      <c r="S184">
        <v>120.6</v>
      </c>
      <c r="U184">
        <v>148</v>
      </c>
      <c r="W184">
        <v>140.1</v>
      </c>
      <c r="Y184">
        <v>154.80000000000001</v>
      </c>
      <c r="AA184">
        <v>153</v>
      </c>
      <c r="AC184">
        <v>161.4</v>
      </c>
      <c r="AE184">
        <v>148.19999999999999</v>
      </c>
      <c r="AG184">
        <v>140.5</v>
      </c>
      <c r="AI184">
        <v>147.19999999999999</v>
      </c>
      <c r="AM184">
        <v>145.1</v>
      </c>
      <c r="AO184">
        <v>144</v>
      </c>
      <c r="AQ184">
        <v>143.80000000000001</v>
      </c>
      <c r="AS184">
        <v>145</v>
      </c>
      <c r="AU184">
        <v>137.19999999999999</v>
      </c>
      <c r="AW184">
        <v>148.9</v>
      </c>
      <c r="AY184">
        <v>140.19999999999999</v>
      </c>
      <c r="BA184">
        <v>141.30000000000001</v>
      </c>
      <c r="BC184">
        <v>144.9</v>
      </c>
    </row>
    <row r="185" spans="3:55" x14ac:dyDescent="0.3">
      <c r="C185">
        <v>146.5</v>
      </c>
      <c r="E185">
        <v>160.19999999999999</v>
      </c>
      <c r="G185">
        <v>146.69999999999999</v>
      </c>
      <c r="I185">
        <v>149.30000000000001</v>
      </c>
      <c r="K185">
        <v>151.4</v>
      </c>
      <c r="M185">
        <v>148.4</v>
      </c>
      <c r="O185">
        <v>159.5</v>
      </c>
      <c r="Q185">
        <v>159.80000000000001</v>
      </c>
      <c r="S185">
        <v>120.7</v>
      </c>
      <c r="U185">
        <v>148.69999999999999</v>
      </c>
      <c r="W185">
        <v>140.6</v>
      </c>
      <c r="Y185">
        <v>154.9</v>
      </c>
      <c r="AA185">
        <v>153.5</v>
      </c>
      <c r="AC185">
        <v>161.9</v>
      </c>
      <c r="AE185">
        <v>148.30000000000001</v>
      </c>
      <c r="AG185">
        <v>140.6</v>
      </c>
      <c r="AI185">
        <v>147.30000000000001</v>
      </c>
      <c r="AM185">
        <v>145.30000000000001</v>
      </c>
      <c r="AO185">
        <v>144.19999999999999</v>
      </c>
      <c r="AQ185">
        <v>144.4</v>
      </c>
      <c r="AS185">
        <v>145.1</v>
      </c>
      <c r="AU185">
        <v>137.69999999999999</v>
      </c>
      <c r="AW185">
        <v>150.1</v>
      </c>
      <c r="AY185">
        <v>140.30000000000001</v>
      </c>
      <c r="BA185">
        <v>141.6</v>
      </c>
      <c r="BC185">
        <v>145</v>
      </c>
    </row>
    <row r="186" spans="3:55" x14ac:dyDescent="0.3">
      <c r="C186">
        <v>146.6</v>
      </c>
      <c r="E186">
        <v>160.6</v>
      </c>
      <c r="G186">
        <v>146.9</v>
      </c>
      <c r="I186">
        <v>150.1</v>
      </c>
      <c r="K186">
        <v>154.80000000000001</v>
      </c>
      <c r="M186">
        <v>148.80000000000001</v>
      </c>
      <c r="O186">
        <v>159.6</v>
      </c>
      <c r="Q186">
        <v>160.19999999999999</v>
      </c>
      <c r="S186">
        <v>120.8</v>
      </c>
      <c r="U186">
        <v>149.1</v>
      </c>
      <c r="W186">
        <v>141.5</v>
      </c>
      <c r="Y186">
        <v>155.1</v>
      </c>
      <c r="AA186">
        <v>153.6</v>
      </c>
      <c r="AC186">
        <v>162.1</v>
      </c>
      <c r="AE186">
        <v>148.4</v>
      </c>
      <c r="AG186">
        <v>140.80000000000001</v>
      </c>
      <c r="AI186">
        <v>147.4</v>
      </c>
      <c r="AM186">
        <v>145.80000000000001</v>
      </c>
      <c r="AO186">
        <v>144.5</v>
      </c>
      <c r="AQ186">
        <v>144.80000000000001</v>
      </c>
      <c r="AS186">
        <v>146.1</v>
      </c>
      <c r="AU186">
        <v>137.80000000000001</v>
      </c>
      <c r="AW186">
        <v>150.19999999999999</v>
      </c>
      <c r="AY186">
        <v>140.4</v>
      </c>
      <c r="BA186">
        <v>141.69999999999999</v>
      </c>
      <c r="BC186">
        <v>145.69999999999999</v>
      </c>
    </row>
    <row r="187" spans="3:55" x14ac:dyDescent="0.3">
      <c r="C187">
        <v>146.69999999999999</v>
      </c>
      <c r="E187">
        <v>160.80000000000001</v>
      </c>
      <c r="G187">
        <v>147.6</v>
      </c>
      <c r="I187">
        <v>150.5</v>
      </c>
      <c r="K187">
        <v>156.4</v>
      </c>
      <c r="M187">
        <v>149.4</v>
      </c>
      <c r="O187">
        <v>159.69999999999999</v>
      </c>
      <c r="Q187">
        <v>160.4</v>
      </c>
      <c r="S187">
        <v>120.9</v>
      </c>
      <c r="U187">
        <v>149.5</v>
      </c>
      <c r="W187">
        <v>142.1</v>
      </c>
      <c r="Y187">
        <v>155.19999999999999</v>
      </c>
      <c r="AA187">
        <v>154</v>
      </c>
      <c r="AC187">
        <v>162.4</v>
      </c>
      <c r="AE187">
        <v>148.6</v>
      </c>
      <c r="AG187">
        <v>141</v>
      </c>
      <c r="AI187">
        <v>147.5</v>
      </c>
      <c r="AM187">
        <v>146.19999999999999</v>
      </c>
      <c r="AO187">
        <v>144.6</v>
      </c>
      <c r="AQ187">
        <v>144.9</v>
      </c>
      <c r="AS187">
        <v>146.19999999999999</v>
      </c>
      <c r="AU187">
        <v>137.9</v>
      </c>
      <c r="AW187">
        <v>150.30000000000001</v>
      </c>
      <c r="AY187">
        <v>140.6</v>
      </c>
      <c r="BA187">
        <v>142</v>
      </c>
      <c r="BC187">
        <v>145.80000000000001</v>
      </c>
    </row>
    <row r="188" spans="3:55" x14ac:dyDescent="0.3">
      <c r="C188">
        <v>146.80000000000001</v>
      </c>
      <c r="E188">
        <v>161</v>
      </c>
      <c r="G188">
        <v>148.1</v>
      </c>
      <c r="I188">
        <v>150.69999999999999</v>
      </c>
      <c r="K188">
        <v>158.69999999999999</v>
      </c>
      <c r="M188">
        <v>149.6</v>
      </c>
      <c r="O188">
        <v>159.9</v>
      </c>
      <c r="Q188">
        <v>160.80000000000001</v>
      </c>
      <c r="S188">
        <v>121</v>
      </c>
      <c r="U188">
        <v>150.4</v>
      </c>
      <c r="W188">
        <v>142.19999999999999</v>
      </c>
      <c r="Y188">
        <v>155.5</v>
      </c>
      <c r="AA188">
        <v>154.30000000000001</v>
      </c>
      <c r="AC188">
        <v>162.6</v>
      </c>
      <c r="AE188">
        <v>148.69999999999999</v>
      </c>
      <c r="AG188">
        <v>141.30000000000001</v>
      </c>
      <c r="AI188">
        <v>147.6</v>
      </c>
      <c r="AM188">
        <v>146.4</v>
      </c>
      <c r="AO188">
        <v>145</v>
      </c>
      <c r="AQ188">
        <v>145</v>
      </c>
      <c r="AS188">
        <v>146.4</v>
      </c>
      <c r="AU188">
        <v>138.4</v>
      </c>
      <c r="AW188">
        <v>150.4</v>
      </c>
      <c r="AY188">
        <v>142.1</v>
      </c>
      <c r="BA188">
        <v>142.19999999999999</v>
      </c>
      <c r="BC188">
        <v>146</v>
      </c>
    </row>
    <row r="189" spans="3:55" x14ac:dyDescent="0.3">
      <c r="C189">
        <v>146.9</v>
      </c>
      <c r="E189">
        <v>161.6</v>
      </c>
      <c r="G189">
        <v>148.4</v>
      </c>
      <c r="I189">
        <v>150.80000000000001</v>
      </c>
      <c r="K189">
        <v>161.4</v>
      </c>
      <c r="M189">
        <v>149.69999999999999</v>
      </c>
      <c r="O189">
        <v>160</v>
      </c>
      <c r="Q189">
        <v>161.1</v>
      </c>
      <c r="S189">
        <v>121.1</v>
      </c>
      <c r="U189">
        <v>150.9</v>
      </c>
      <c r="W189">
        <v>143.30000000000001</v>
      </c>
      <c r="Y189">
        <v>155.6</v>
      </c>
      <c r="AA189">
        <v>154.4</v>
      </c>
      <c r="AC189">
        <v>162.69999999999999</v>
      </c>
      <c r="AE189">
        <v>148.9</v>
      </c>
      <c r="AG189">
        <v>141.5</v>
      </c>
      <c r="AI189">
        <v>147.80000000000001</v>
      </c>
      <c r="AM189">
        <v>146.80000000000001</v>
      </c>
      <c r="AO189">
        <v>145.1</v>
      </c>
      <c r="AQ189">
        <v>145.1</v>
      </c>
      <c r="AS189">
        <v>146.6</v>
      </c>
      <c r="AU189">
        <v>138.6</v>
      </c>
      <c r="AW189">
        <v>151.5</v>
      </c>
      <c r="AY189">
        <v>142.30000000000001</v>
      </c>
      <c r="BA189">
        <v>142.4</v>
      </c>
      <c r="BC189">
        <v>146.69999999999999</v>
      </c>
    </row>
    <row r="190" spans="3:55" x14ac:dyDescent="0.3">
      <c r="C190">
        <v>147.19999999999999</v>
      </c>
      <c r="E190">
        <v>161.9</v>
      </c>
      <c r="G190">
        <v>148.80000000000001</v>
      </c>
      <c r="I190">
        <v>150.9</v>
      </c>
      <c r="K190">
        <v>163</v>
      </c>
      <c r="M190">
        <v>149.80000000000001</v>
      </c>
      <c r="O190">
        <v>160.30000000000001</v>
      </c>
      <c r="Q190">
        <v>161.19999999999999</v>
      </c>
      <c r="S190">
        <v>121.2</v>
      </c>
      <c r="U190">
        <v>151.5</v>
      </c>
      <c r="W190">
        <v>143.5</v>
      </c>
      <c r="Y190">
        <v>155.80000000000001</v>
      </c>
      <c r="AA190">
        <v>154.5</v>
      </c>
      <c r="AC190">
        <v>162.80000000000001</v>
      </c>
      <c r="AE190">
        <v>149.1</v>
      </c>
      <c r="AG190">
        <v>141.69999999999999</v>
      </c>
      <c r="AI190">
        <v>147.9</v>
      </c>
      <c r="AM190">
        <v>146.9</v>
      </c>
      <c r="AO190">
        <v>145.30000000000001</v>
      </c>
      <c r="AQ190">
        <v>145.4</v>
      </c>
      <c r="AS190">
        <v>147.5</v>
      </c>
      <c r="AU190">
        <v>139.19999999999999</v>
      </c>
      <c r="AW190">
        <v>151.6</v>
      </c>
      <c r="AY190">
        <v>142.5</v>
      </c>
      <c r="BA190">
        <v>142.5</v>
      </c>
      <c r="BC190">
        <v>147</v>
      </c>
    </row>
    <row r="191" spans="3:55" x14ac:dyDescent="0.3">
      <c r="C191">
        <v>147.4</v>
      </c>
      <c r="E191">
        <v>162.1</v>
      </c>
      <c r="G191">
        <v>148.9</v>
      </c>
      <c r="I191">
        <v>151.1</v>
      </c>
      <c r="K191">
        <v>163.9</v>
      </c>
      <c r="M191">
        <v>149.9</v>
      </c>
      <c r="O191">
        <v>160.4</v>
      </c>
      <c r="Q191">
        <v>161.5</v>
      </c>
      <c r="S191">
        <v>121.3</v>
      </c>
      <c r="U191">
        <v>151.6</v>
      </c>
      <c r="W191">
        <v>144</v>
      </c>
      <c r="Y191">
        <v>155.9</v>
      </c>
      <c r="AA191">
        <v>154.69999999999999</v>
      </c>
      <c r="AC191">
        <v>162.9</v>
      </c>
      <c r="AE191">
        <v>149.19999999999999</v>
      </c>
      <c r="AG191">
        <v>141.9</v>
      </c>
      <c r="AI191">
        <v>148.1</v>
      </c>
      <c r="AM191">
        <v>147.19999999999999</v>
      </c>
      <c r="AO191">
        <v>145.4</v>
      </c>
      <c r="AQ191">
        <v>145.6</v>
      </c>
      <c r="AS191">
        <v>148.9</v>
      </c>
      <c r="AU191">
        <v>139.6</v>
      </c>
      <c r="AW191">
        <v>151.69999999999999</v>
      </c>
      <c r="AY191">
        <v>143.4</v>
      </c>
      <c r="BA191">
        <v>142.9</v>
      </c>
      <c r="BC191">
        <v>147.19999999999999</v>
      </c>
    </row>
    <row r="192" spans="3:55" x14ac:dyDescent="0.3">
      <c r="C192">
        <v>147.5</v>
      </c>
      <c r="E192">
        <v>162.4</v>
      </c>
      <c r="G192">
        <v>149.4</v>
      </c>
      <c r="I192">
        <v>151.5</v>
      </c>
      <c r="K192">
        <v>164.4</v>
      </c>
      <c r="M192">
        <v>150.1</v>
      </c>
      <c r="O192">
        <v>160.69999999999999</v>
      </c>
      <c r="Q192">
        <v>161.69999999999999</v>
      </c>
      <c r="S192">
        <v>121.4</v>
      </c>
      <c r="U192">
        <v>152</v>
      </c>
      <c r="W192">
        <v>145.4</v>
      </c>
      <c r="Y192">
        <v>156</v>
      </c>
      <c r="AA192">
        <v>155</v>
      </c>
      <c r="AC192">
        <v>163</v>
      </c>
      <c r="AE192">
        <v>149.4</v>
      </c>
      <c r="AG192">
        <v>142.30000000000001</v>
      </c>
      <c r="AI192">
        <v>148.19999999999999</v>
      </c>
      <c r="AM192">
        <v>147.5</v>
      </c>
      <c r="AO192">
        <v>145.5</v>
      </c>
      <c r="AQ192">
        <v>146.19999999999999</v>
      </c>
      <c r="AS192">
        <v>149.5</v>
      </c>
      <c r="AU192">
        <v>140</v>
      </c>
      <c r="AW192">
        <v>151.80000000000001</v>
      </c>
      <c r="AY192">
        <v>143.5</v>
      </c>
      <c r="BA192">
        <v>143.30000000000001</v>
      </c>
      <c r="BC192">
        <v>147.30000000000001</v>
      </c>
    </row>
    <row r="193" spans="3:55" x14ac:dyDescent="0.3">
      <c r="C193">
        <v>147.6</v>
      </c>
      <c r="E193">
        <v>162.69999999999999</v>
      </c>
      <c r="G193">
        <v>149.5</v>
      </c>
      <c r="I193">
        <v>151.69999999999999</v>
      </c>
      <c r="K193">
        <v>168.2</v>
      </c>
      <c r="M193">
        <v>150.30000000000001</v>
      </c>
      <c r="O193">
        <v>160.9</v>
      </c>
      <c r="Q193">
        <v>162.1</v>
      </c>
      <c r="S193">
        <v>121.5</v>
      </c>
      <c r="U193">
        <v>152.80000000000001</v>
      </c>
      <c r="W193">
        <v>145.9</v>
      </c>
      <c r="Y193">
        <v>156.1</v>
      </c>
      <c r="AA193">
        <v>155.30000000000001</v>
      </c>
      <c r="AC193">
        <v>163.19999999999999</v>
      </c>
      <c r="AE193">
        <v>149.9</v>
      </c>
      <c r="AG193">
        <v>142.4</v>
      </c>
      <c r="AI193">
        <v>148.30000000000001</v>
      </c>
      <c r="AM193">
        <v>147.69999999999999</v>
      </c>
      <c r="AO193">
        <v>145.69999999999999</v>
      </c>
      <c r="AQ193">
        <v>146.9</v>
      </c>
      <c r="AS193">
        <v>150.19999999999999</v>
      </c>
      <c r="AU193">
        <v>140.1</v>
      </c>
      <c r="AW193">
        <v>151.9</v>
      </c>
      <c r="AY193">
        <v>145.1</v>
      </c>
      <c r="BA193">
        <v>143.4</v>
      </c>
      <c r="BC193">
        <v>147.69999999999999</v>
      </c>
    </row>
    <row r="194" spans="3:55" x14ac:dyDescent="0.3">
      <c r="C194">
        <v>148</v>
      </c>
      <c r="E194">
        <v>163.19999999999999</v>
      </c>
      <c r="G194">
        <v>150.80000000000001</v>
      </c>
      <c r="I194">
        <v>153.30000000000001</v>
      </c>
      <c r="K194">
        <v>168.7</v>
      </c>
      <c r="M194">
        <v>150.4</v>
      </c>
      <c r="O194">
        <v>161</v>
      </c>
      <c r="Q194">
        <v>162.69999999999999</v>
      </c>
      <c r="S194">
        <v>121.6</v>
      </c>
      <c r="U194">
        <v>153.19999999999999</v>
      </c>
      <c r="W194">
        <v>146.5</v>
      </c>
      <c r="Y194">
        <v>156.19999999999999</v>
      </c>
      <c r="AA194">
        <v>155.6</v>
      </c>
      <c r="AC194">
        <v>163.30000000000001</v>
      </c>
      <c r="AE194">
        <v>150</v>
      </c>
      <c r="AG194">
        <v>143</v>
      </c>
      <c r="AI194">
        <v>148.6</v>
      </c>
      <c r="AM194">
        <v>147.80000000000001</v>
      </c>
      <c r="AO194">
        <v>145.80000000000001</v>
      </c>
      <c r="AQ194">
        <v>147.4</v>
      </c>
      <c r="AS194">
        <v>150.4</v>
      </c>
      <c r="AU194">
        <v>140.5</v>
      </c>
      <c r="AW194">
        <v>152.1</v>
      </c>
      <c r="AY194">
        <v>145.19999999999999</v>
      </c>
      <c r="BA194">
        <v>143.6</v>
      </c>
      <c r="BC194">
        <v>148.19999999999999</v>
      </c>
    </row>
    <row r="195" spans="3:55" x14ac:dyDescent="0.3">
      <c r="C195">
        <v>148.19999999999999</v>
      </c>
      <c r="E195">
        <v>163.5</v>
      </c>
      <c r="G195">
        <v>150.9</v>
      </c>
      <c r="I195">
        <v>153.4</v>
      </c>
      <c r="K195">
        <v>168.8</v>
      </c>
      <c r="M195">
        <v>150.5</v>
      </c>
      <c r="O195">
        <v>161.1</v>
      </c>
      <c r="Q195">
        <v>162.80000000000001</v>
      </c>
      <c r="S195">
        <v>121.8</v>
      </c>
      <c r="U195">
        <v>154</v>
      </c>
      <c r="W195">
        <v>147.4</v>
      </c>
      <c r="Y195">
        <v>156.4</v>
      </c>
      <c r="AA195">
        <v>156.1</v>
      </c>
      <c r="AC195">
        <v>163.4</v>
      </c>
      <c r="AE195">
        <v>150.1</v>
      </c>
      <c r="AG195">
        <v>143.30000000000001</v>
      </c>
      <c r="AI195">
        <v>148.80000000000001</v>
      </c>
      <c r="AM195">
        <v>147.9</v>
      </c>
      <c r="AO195">
        <v>146.19999999999999</v>
      </c>
      <c r="AQ195">
        <v>147.9</v>
      </c>
      <c r="AS195">
        <v>150.5</v>
      </c>
      <c r="AU195">
        <v>140.9</v>
      </c>
      <c r="AW195">
        <v>152.19999999999999</v>
      </c>
      <c r="AY195">
        <v>145.30000000000001</v>
      </c>
      <c r="BA195">
        <v>143.80000000000001</v>
      </c>
      <c r="BC195">
        <v>148.30000000000001</v>
      </c>
    </row>
    <row r="196" spans="3:55" x14ac:dyDescent="0.3">
      <c r="C196">
        <v>148.30000000000001</v>
      </c>
      <c r="E196">
        <v>163.69999999999999</v>
      </c>
      <c r="G196">
        <v>151.1</v>
      </c>
      <c r="I196">
        <v>153.6</v>
      </c>
      <c r="K196">
        <v>170</v>
      </c>
      <c r="M196">
        <v>150.6</v>
      </c>
      <c r="O196">
        <v>161.6</v>
      </c>
      <c r="Q196">
        <v>163.19999999999999</v>
      </c>
      <c r="S196">
        <v>121.9</v>
      </c>
      <c r="U196">
        <v>157.1</v>
      </c>
      <c r="W196">
        <v>149.19999999999999</v>
      </c>
      <c r="Y196">
        <v>156.6</v>
      </c>
      <c r="AA196">
        <v>156.30000000000001</v>
      </c>
      <c r="AC196">
        <v>163.5</v>
      </c>
      <c r="AE196">
        <v>150.19999999999999</v>
      </c>
      <c r="AG196">
        <v>143.4</v>
      </c>
      <c r="AI196">
        <v>149</v>
      </c>
      <c r="AM196">
        <v>148.4</v>
      </c>
      <c r="AO196">
        <v>146.4</v>
      </c>
      <c r="AQ196">
        <v>148.1</v>
      </c>
      <c r="AS196">
        <v>150.69999999999999</v>
      </c>
      <c r="AU196">
        <v>141.19999999999999</v>
      </c>
      <c r="AW196">
        <v>152.5</v>
      </c>
      <c r="AY196">
        <v>151.19999999999999</v>
      </c>
      <c r="BA196">
        <v>144.19999999999999</v>
      </c>
      <c r="BC196">
        <v>148.6</v>
      </c>
    </row>
    <row r="197" spans="3:55" x14ac:dyDescent="0.3">
      <c r="C197">
        <v>148.4</v>
      </c>
      <c r="E197">
        <v>164</v>
      </c>
      <c r="G197">
        <v>151.4</v>
      </c>
      <c r="I197">
        <v>153.69999999999999</v>
      </c>
      <c r="K197">
        <v>170.1</v>
      </c>
      <c r="M197">
        <v>150.69999999999999</v>
      </c>
      <c r="O197">
        <v>161.69999999999999</v>
      </c>
      <c r="Q197">
        <v>163.4</v>
      </c>
      <c r="S197">
        <v>122.1</v>
      </c>
      <c r="U197">
        <v>158.69999999999999</v>
      </c>
      <c r="W197">
        <v>150</v>
      </c>
      <c r="Y197">
        <v>156.69999999999999</v>
      </c>
      <c r="AA197">
        <v>156.69999999999999</v>
      </c>
      <c r="AC197">
        <v>164</v>
      </c>
      <c r="AE197">
        <v>150.30000000000001</v>
      </c>
      <c r="AG197">
        <v>143.6</v>
      </c>
      <c r="AI197">
        <v>149.1</v>
      </c>
      <c r="AM197">
        <v>148.69999999999999</v>
      </c>
      <c r="AO197">
        <v>146.5</v>
      </c>
      <c r="AQ197">
        <v>148.5</v>
      </c>
      <c r="AS197">
        <v>151.19999999999999</v>
      </c>
      <c r="AU197">
        <v>141.30000000000001</v>
      </c>
      <c r="AW197">
        <v>154</v>
      </c>
      <c r="AY197">
        <v>151.6</v>
      </c>
      <c r="BA197">
        <v>144.80000000000001</v>
      </c>
      <c r="BC197">
        <v>149.1</v>
      </c>
    </row>
    <row r="198" spans="3:55" x14ac:dyDescent="0.3">
      <c r="C198">
        <v>148.69999999999999</v>
      </c>
      <c r="E198">
        <v>164.5</v>
      </c>
      <c r="G198">
        <v>151.80000000000001</v>
      </c>
      <c r="I198">
        <v>153.80000000000001</v>
      </c>
      <c r="K198">
        <v>170.6</v>
      </c>
      <c r="M198">
        <v>150.9</v>
      </c>
      <c r="O198">
        <v>162.1</v>
      </c>
      <c r="Q198">
        <v>163.6</v>
      </c>
      <c r="S198">
        <v>122.2</v>
      </c>
      <c r="U198">
        <v>158.80000000000001</v>
      </c>
      <c r="W198">
        <v>150.69999999999999</v>
      </c>
      <c r="Y198">
        <v>156.80000000000001</v>
      </c>
      <c r="AA198">
        <v>156.9</v>
      </c>
      <c r="AC198">
        <v>164.1</v>
      </c>
      <c r="AE198">
        <v>150.5</v>
      </c>
      <c r="AG198">
        <v>144.1</v>
      </c>
      <c r="AI198">
        <v>149.19999999999999</v>
      </c>
      <c r="AM198">
        <v>148.9</v>
      </c>
      <c r="AO198">
        <v>147.19999999999999</v>
      </c>
      <c r="AQ198">
        <v>148.69999999999999</v>
      </c>
      <c r="AS198">
        <v>151.30000000000001</v>
      </c>
      <c r="AU198">
        <v>141.69999999999999</v>
      </c>
      <c r="AW198">
        <v>154.9</v>
      </c>
      <c r="AY198">
        <v>152.19999999999999</v>
      </c>
      <c r="BA198">
        <v>144.9</v>
      </c>
      <c r="BC198">
        <v>149.80000000000001</v>
      </c>
    </row>
    <row r="199" spans="3:55" x14ac:dyDescent="0.3">
      <c r="C199">
        <v>148.80000000000001</v>
      </c>
      <c r="E199">
        <v>165</v>
      </c>
      <c r="G199">
        <v>151.9</v>
      </c>
      <c r="I199">
        <v>153.9</v>
      </c>
      <c r="K199">
        <v>171</v>
      </c>
      <c r="M199">
        <v>151.19999999999999</v>
      </c>
      <c r="O199">
        <v>162.19999999999999</v>
      </c>
      <c r="Q199">
        <v>163.69999999999999</v>
      </c>
      <c r="S199">
        <v>122.4</v>
      </c>
      <c r="U199">
        <v>159.5</v>
      </c>
      <c r="W199">
        <v>151.5</v>
      </c>
      <c r="Y199">
        <v>156.9</v>
      </c>
      <c r="AA199">
        <v>157</v>
      </c>
      <c r="AC199">
        <v>164.2</v>
      </c>
      <c r="AE199">
        <v>150.6</v>
      </c>
      <c r="AG199">
        <v>144.30000000000001</v>
      </c>
      <c r="AI199">
        <v>149.5</v>
      </c>
      <c r="AM199">
        <v>149</v>
      </c>
      <c r="AO199">
        <v>147.5</v>
      </c>
      <c r="AQ199">
        <v>149</v>
      </c>
      <c r="AS199">
        <v>151.69999999999999</v>
      </c>
      <c r="AU199">
        <v>141.80000000000001</v>
      </c>
      <c r="AW199">
        <v>155.1</v>
      </c>
      <c r="AY199">
        <v>153.1</v>
      </c>
      <c r="BA199">
        <v>145.4</v>
      </c>
      <c r="BC199">
        <v>149.9</v>
      </c>
    </row>
    <row r="200" spans="3:55" x14ac:dyDescent="0.3">
      <c r="C200">
        <v>148.9</v>
      </c>
      <c r="E200">
        <v>165.3</v>
      </c>
      <c r="G200">
        <v>152.5</v>
      </c>
      <c r="I200">
        <v>154</v>
      </c>
      <c r="K200">
        <v>171.5</v>
      </c>
      <c r="M200">
        <v>151.30000000000001</v>
      </c>
      <c r="O200">
        <v>162.30000000000001</v>
      </c>
      <c r="Q200">
        <v>163.80000000000001</v>
      </c>
      <c r="S200">
        <v>122.5</v>
      </c>
      <c r="U200">
        <v>159.80000000000001</v>
      </c>
      <c r="W200">
        <v>151.80000000000001</v>
      </c>
      <c r="Y200">
        <v>157.1</v>
      </c>
      <c r="AA200">
        <v>158</v>
      </c>
      <c r="AC200">
        <v>164.4</v>
      </c>
      <c r="AE200">
        <v>150.69999999999999</v>
      </c>
      <c r="AG200">
        <v>144.4</v>
      </c>
      <c r="AI200">
        <v>149.6</v>
      </c>
      <c r="AM200">
        <v>149.1</v>
      </c>
      <c r="AO200">
        <v>147.6</v>
      </c>
      <c r="AQ200">
        <v>149.4</v>
      </c>
      <c r="AS200">
        <v>151.80000000000001</v>
      </c>
      <c r="AU200">
        <v>142</v>
      </c>
      <c r="AW200">
        <v>155.19999999999999</v>
      </c>
      <c r="AY200">
        <v>153.6</v>
      </c>
      <c r="BA200">
        <v>145.69999999999999</v>
      </c>
      <c r="BC200">
        <v>150.19999999999999</v>
      </c>
    </row>
    <row r="201" spans="3:55" x14ac:dyDescent="0.3">
      <c r="C201">
        <v>149</v>
      </c>
      <c r="E201">
        <v>166.8</v>
      </c>
      <c r="G201">
        <v>153.1</v>
      </c>
      <c r="I201">
        <v>154.1</v>
      </c>
      <c r="K201">
        <v>172.2</v>
      </c>
      <c r="M201">
        <v>151.4</v>
      </c>
      <c r="O201">
        <v>162.6</v>
      </c>
      <c r="Q201">
        <v>163.9</v>
      </c>
      <c r="S201">
        <v>122.6</v>
      </c>
      <c r="U201">
        <v>160</v>
      </c>
      <c r="W201">
        <v>152</v>
      </c>
      <c r="Y201">
        <v>157.19999999999999</v>
      </c>
      <c r="AA201">
        <v>158.69999999999999</v>
      </c>
      <c r="AC201">
        <v>164.5</v>
      </c>
      <c r="AE201">
        <v>150.80000000000001</v>
      </c>
      <c r="AG201">
        <v>144.5</v>
      </c>
      <c r="AI201">
        <v>149.80000000000001</v>
      </c>
      <c r="AM201">
        <v>149.69999999999999</v>
      </c>
      <c r="AO201">
        <v>148</v>
      </c>
      <c r="AQ201">
        <v>149.6</v>
      </c>
      <c r="AS201">
        <v>152.19999999999999</v>
      </c>
      <c r="AU201">
        <v>142.1</v>
      </c>
      <c r="AW201">
        <v>155.4</v>
      </c>
      <c r="AY201">
        <v>153.80000000000001</v>
      </c>
      <c r="BA201">
        <v>146</v>
      </c>
      <c r="BC201">
        <v>150.4</v>
      </c>
    </row>
    <row r="202" spans="3:55" x14ac:dyDescent="0.3">
      <c r="C202">
        <v>149.1</v>
      </c>
      <c r="E202">
        <v>167</v>
      </c>
      <c r="G202">
        <v>153.5</v>
      </c>
      <c r="I202">
        <v>154.19999999999999</v>
      </c>
      <c r="K202">
        <v>173.3</v>
      </c>
      <c r="M202">
        <v>151.6</v>
      </c>
      <c r="O202">
        <v>162.69999999999999</v>
      </c>
      <c r="Q202">
        <v>164</v>
      </c>
      <c r="S202">
        <v>122.7</v>
      </c>
      <c r="U202">
        <v>160.30000000000001</v>
      </c>
      <c r="W202">
        <v>152.30000000000001</v>
      </c>
      <c r="Y202">
        <v>157.4</v>
      </c>
      <c r="AA202">
        <v>159.6</v>
      </c>
      <c r="AC202">
        <v>164.6</v>
      </c>
      <c r="AE202">
        <v>151.1</v>
      </c>
      <c r="AG202">
        <v>144.6</v>
      </c>
      <c r="AI202">
        <v>149.9</v>
      </c>
      <c r="AM202">
        <v>149.9</v>
      </c>
      <c r="AO202">
        <v>148.4</v>
      </c>
      <c r="AQ202">
        <v>149.9</v>
      </c>
      <c r="AS202">
        <v>152.69999999999999</v>
      </c>
      <c r="AU202">
        <v>142.30000000000001</v>
      </c>
      <c r="AW202">
        <v>155.5</v>
      </c>
      <c r="AY202">
        <v>154.30000000000001</v>
      </c>
      <c r="BA202">
        <v>146.1</v>
      </c>
      <c r="BC202">
        <v>150.80000000000001</v>
      </c>
    </row>
    <row r="203" spans="3:55" x14ac:dyDescent="0.3">
      <c r="C203">
        <v>149.19999999999999</v>
      </c>
      <c r="E203">
        <v>167.3</v>
      </c>
      <c r="G203">
        <v>153.69999999999999</v>
      </c>
      <c r="I203">
        <v>154.4</v>
      </c>
      <c r="K203">
        <v>173.5</v>
      </c>
      <c r="M203">
        <v>151.80000000000001</v>
      </c>
      <c r="O203">
        <v>162.9</v>
      </c>
      <c r="Q203">
        <v>164.1</v>
      </c>
      <c r="S203">
        <v>123</v>
      </c>
      <c r="U203">
        <v>160.9</v>
      </c>
      <c r="W203">
        <v>153.4</v>
      </c>
      <c r="Y203">
        <v>157.5</v>
      </c>
      <c r="AA203">
        <v>159.9</v>
      </c>
      <c r="AC203">
        <v>164.7</v>
      </c>
      <c r="AE203">
        <v>151.19999999999999</v>
      </c>
      <c r="AG203">
        <v>144.69999999999999</v>
      </c>
      <c r="AI203">
        <v>150.1</v>
      </c>
      <c r="AM203">
        <v>150.30000000000001</v>
      </c>
      <c r="AO203">
        <v>148.69999999999999</v>
      </c>
      <c r="AQ203">
        <v>150</v>
      </c>
      <c r="AS203">
        <v>153.1</v>
      </c>
      <c r="AU203">
        <v>142.80000000000001</v>
      </c>
      <c r="AW203">
        <v>155.69999999999999</v>
      </c>
      <c r="AY203">
        <v>154.6</v>
      </c>
      <c r="BA203">
        <v>146.19999999999999</v>
      </c>
      <c r="BC203">
        <v>151.80000000000001</v>
      </c>
    </row>
    <row r="204" spans="3:55" x14ac:dyDescent="0.3">
      <c r="C204">
        <v>149.30000000000001</v>
      </c>
      <c r="E204">
        <v>167.4</v>
      </c>
      <c r="G204">
        <v>154.5</v>
      </c>
      <c r="I204">
        <v>154.5</v>
      </c>
      <c r="K204">
        <v>174.9</v>
      </c>
      <c r="M204">
        <v>152</v>
      </c>
      <c r="O204">
        <v>163.19999999999999</v>
      </c>
      <c r="Q204">
        <v>164.2</v>
      </c>
      <c r="S204">
        <v>123.1</v>
      </c>
      <c r="U204">
        <v>161</v>
      </c>
      <c r="W204">
        <v>154.80000000000001</v>
      </c>
      <c r="Y204">
        <v>157.69999999999999</v>
      </c>
      <c r="AA204">
        <v>160.4</v>
      </c>
      <c r="AC204">
        <v>164.9</v>
      </c>
      <c r="AE204">
        <v>151.30000000000001</v>
      </c>
      <c r="AG204">
        <v>144.9</v>
      </c>
      <c r="AI204">
        <v>150.19999999999999</v>
      </c>
      <c r="AM204">
        <v>150.4</v>
      </c>
      <c r="AO204">
        <v>149.19999999999999</v>
      </c>
      <c r="AQ204">
        <v>150.4</v>
      </c>
      <c r="AS204">
        <v>153.19999999999999</v>
      </c>
      <c r="AU204">
        <v>142.9</v>
      </c>
      <c r="AW204">
        <v>156.1</v>
      </c>
      <c r="AY204">
        <v>154.9</v>
      </c>
      <c r="BA204">
        <v>146.6</v>
      </c>
      <c r="BC204">
        <v>151.9</v>
      </c>
    </row>
    <row r="205" spans="3:55" x14ac:dyDescent="0.3">
      <c r="C205">
        <v>149.5</v>
      </c>
      <c r="E205">
        <v>167.5</v>
      </c>
      <c r="G205">
        <v>154.6</v>
      </c>
      <c r="I205">
        <v>154.69999999999999</v>
      </c>
      <c r="K205">
        <v>175</v>
      </c>
      <c r="M205">
        <v>152.19999999999999</v>
      </c>
      <c r="O205">
        <v>163.4</v>
      </c>
      <c r="Q205">
        <v>164.3</v>
      </c>
      <c r="S205">
        <v>123.4</v>
      </c>
      <c r="U205">
        <v>161.30000000000001</v>
      </c>
      <c r="W205">
        <v>155.4</v>
      </c>
      <c r="Y205">
        <v>158</v>
      </c>
      <c r="AA205">
        <v>160.5</v>
      </c>
      <c r="AC205">
        <v>165.1</v>
      </c>
      <c r="AE205">
        <v>151.4</v>
      </c>
      <c r="AG205">
        <v>145.1</v>
      </c>
      <c r="AI205">
        <v>150.30000000000001</v>
      </c>
      <c r="AM205">
        <v>150.9</v>
      </c>
      <c r="AO205">
        <v>149.5</v>
      </c>
      <c r="AQ205">
        <v>150.69999999999999</v>
      </c>
      <c r="AS205">
        <v>154</v>
      </c>
      <c r="AU205">
        <v>143.1</v>
      </c>
      <c r="AW205">
        <v>156.19999999999999</v>
      </c>
      <c r="AY205">
        <v>155.19999999999999</v>
      </c>
      <c r="BA205">
        <v>146.9</v>
      </c>
      <c r="BC205">
        <v>152.30000000000001</v>
      </c>
    </row>
    <row r="206" spans="3:55" x14ac:dyDescent="0.3">
      <c r="C206">
        <v>149.6</v>
      </c>
      <c r="E206">
        <v>167.6</v>
      </c>
      <c r="G206">
        <v>154.9</v>
      </c>
      <c r="I206">
        <v>154.9</v>
      </c>
      <c r="K206">
        <v>175.2</v>
      </c>
      <c r="M206">
        <v>152.6</v>
      </c>
      <c r="O206">
        <v>163.5</v>
      </c>
      <c r="Q206">
        <v>164.4</v>
      </c>
      <c r="S206">
        <v>123.9</v>
      </c>
      <c r="U206">
        <v>161.4</v>
      </c>
      <c r="W206">
        <v>155.5</v>
      </c>
      <c r="Y206">
        <v>158.30000000000001</v>
      </c>
      <c r="AA206">
        <v>160.69999999999999</v>
      </c>
      <c r="AC206">
        <v>165.2</v>
      </c>
      <c r="AE206">
        <v>151.5</v>
      </c>
      <c r="AG206">
        <v>145.30000000000001</v>
      </c>
      <c r="AI206">
        <v>150.6</v>
      </c>
      <c r="AM206">
        <v>152.30000000000001</v>
      </c>
      <c r="AO206">
        <v>149.6</v>
      </c>
      <c r="AQ206">
        <v>151</v>
      </c>
      <c r="AS206">
        <v>154.19999999999999</v>
      </c>
      <c r="AU206">
        <v>143.19999999999999</v>
      </c>
      <c r="AW206">
        <v>156.4</v>
      </c>
      <c r="AY206">
        <v>155.4</v>
      </c>
      <c r="BA206">
        <v>147</v>
      </c>
      <c r="BC206">
        <v>152.69999999999999</v>
      </c>
    </row>
    <row r="207" spans="3:55" x14ac:dyDescent="0.3">
      <c r="C207">
        <v>149.69999999999999</v>
      </c>
      <c r="E207">
        <v>183.9</v>
      </c>
      <c r="G207">
        <v>157</v>
      </c>
      <c r="I207">
        <v>155</v>
      </c>
      <c r="K207">
        <v>175.8</v>
      </c>
      <c r="M207">
        <v>152.69999999999999</v>
      </c>
      <c r="O207">
        <v>164.2</v>
      </c>
      <c r="Q207">
        <v>164.5</v>
      </c>
      <c r="S207">
        <v>124.2</v>
      </c>
      <c r="U207">
        <v>161.80000000000001</v>
      </c>
      <c r="W207">
        <v>156.1</v>
      </c>
      <c r="Y207">
        <v>158.5</v>
      </c>
      <c r="AA207">
        <v>160.80000000000001</v>
      </c>
      <c r="AC207">
        <v>165.3</v>
      </c>
      <c r="AE207">
        <v>151.6</v>
      </c>
      <c r="AG207">
        <v>145.4</v>
      </c>
      <c r="AI207">
        <v>150.69999999999999</v>
      </c>
      <c r="AM207">
        <v>152.4</v>
      </c>
      <c r="AO207">
        <v>149.69999999999999</v>
      </c>
      <c r="AQ207">
        <v>151.19999999999999</v>
      </c>
      <c r="AS207">
        <v>154.80000000000001</v>
      </c>
      <c r="AU207">
        <v>143.30000000000001</v>
      </c>
      <c r="AW207">
        <v>156.6</v>
      </c>
      <c r="AY207">
        <v>155.80000000000001</v>
      </c>
      <c r="BA207">
        <v>147.1</v>
      </c>
      <c r="BC207">
        <v>152.9</v>
      </c>
    </row>
    <row r="208" spans="3:55" x14ac:dyDescent="0.3">
      <c r="C208">
        <v>150</v>
      </c>
      <c r="E208">
        <v>184</v>
      </c>
      <c r="G208">
        <v>157.30000000000001</v>
      </c>
      <c r="I208">
        <v>155.1</v>
      </c>
      <c r="K208">
        <v>176.6</v>
      </c>
      <c r="M208">
        <v>152.9</v>
      </c>
      <c r="O208">
        <v>164.6</v>
      </c>
      <c r="Q208">
        <v>164.6</v>
      </c>
      <c r="S208" t="s">
        <v>32</v>
      </c>
      <c r="U208">
        <v>161.9</v>
      </c>
      <c r="W208">
        <v>156.5</v>
      </c>
      <c r="Y208">
        <v>158.6</v>
      </c>
      <c r="AA208">
        <v>161</v>
      </c>
      <c r="AC208">
        <v>165.7</v>
      </c>
      <c r="AE208">
        <v>151.69999999999999</v>
      </c>
      <c r="AG208">
        <v>145.5</v>
      </c>
      <c r="AI208">
        <v>150.80000000000001</v>
      </c>
      <c r="AM208">
        <v>153.4</v>
      </c>
      <c r="AO208">
        <v>149.80000000000001</v>
      </c>
      <c r="AQ208">
        <v>151.30000000000001</v>
      </c>
      <c r="AS208">
        <v>155.69999999999999</v>
      </c>
      <c r="AU208">
        <v>143.4</v>
      </c>
      <c r="AW208">
        <v>156.69999999999999</v>
      </c>
      <c r="AY208">
        <v>156.19999999999999</v>
      </c>
      <c r="BA208">
        <v>147.6</v>
      </c>
      <c r="BC208">
        <v>153.9</v>
      </c>
    </row>
    <row r="209" spans="3:55" x14ac:dyDescent="0.3">
      <c r="C209">
        <v>150.1</v>
      </c>
      <c r="E209">
        <v>186.3</v>
      </c>
      <c r="G209">
        <v>159.19999999999999</v>
      </c>
      <c r="I209">
        <v>155.4</v>
      </c>
      <c r="K209">
        <v>177.7</v>
      </c>
      <c r="M209">
        <v>153.19999999999999</v>
      </c>
      <c r="O209">
        <v>164.9</v>
      </c>
      <c r="Q209">
        <v>164.7</v>
      </c>
      <c r="S209" t="s">
        <v>51</v>
      </c>
      <c r="U209">
        <v>162</v>
      </c>
      <c r="W209">
        <v>156.6</v>
      </c>
      <c r="Y209">
        <v>158.69999999999999</v>
      </c>
      <c r="AA209">
        <v>161.30000000000001</v>
      </c>
      <c r="AC209">
        <v>165.8</v>
      </c>
      <c r="AE209">
        <v>151.80000000000001</v>
      </c>
      <c r="AG209">
        <v>145.80000000000001</v>
      </c>
      <c r="AI209">
        <v>150.9</v>
      </c>
      <c r="AM209">
        <v>154.4</v>
      </c>
      <c r="AO209">
        <v>150</v>
      </c>
      <c r="AQ209">
        <v>151.69999999999999</v>
      </c>
      <c r="AS209">
        <v>156.5</v>
      </c>
      <c r="AU209">
        <v>143.69999999999999</v>
      </c>
      <c r="AW209">
        <v>156.9</v>
      </c>
      <c r="AY209">
        <v>156.6</v>
      </c>
      <c r="BA209">
        <v>148.1</v>
      </c>
      <c r="BC209">
        <v>154</v>
      </c>
    </row>
    <row r="210" spans="3:55" x14ac:dyDescent="0.3">
      <c r="C210">
        <v>150.19999999999999</v>
      </c>
      <c r="E210">
        <v>186.5</v>
      </c>
      <c r="G210">
        <v>161.4</v>
      </c>
      <c r="I210">
        <v>155.5</v>
      </c>
      <c r="K210">
        <v>178</v>
      </c>
      <c r="M210">
        <v>153.30000000000001</v>
      </c>
      <c r="O210">
        <v>165.1</v>
      </c>
      <c r="Q210">
        <v>165</v>
      </c>
      <c r="U210">
        <v>162.5</v>
      </c>
      <c r="W210">
        <v>156.69999999999999</v>
      </c>
      <c r="Y210">
        <v>159</v>
      </c>
      <c r="AA210">
        <v>161.4</v>
      </c>
      <c r="AC210">
        <v>166.2</v>
      </c>
      <c r="AE210">
        <v>151.9</v>
      </c>
      <c r="AG210">
        <v>145.9</v>
      </c>
      <c r="AI210">
        <v>151</v>
      </c>
      <c r="AM210">
        <v>154.80000000000001</v>
      </c>
      <c r="AO210">
        <v>150.1</v>
      </c>
      <c r="AQ210">
        <v>152</v>
      </c>
      <c r="AS210">
        <v>156.9</v>
      </c>
      <c r="AU210">
        <v>143.80000000000001</v>
      </c>
      <c r="AW210">
        <v>157.5</v>
      </c>
      <c r="AY210">
        <v>156.69999999999999</v>
      </c>
      <c r="BA210">
        <v>148.4</v>
      </c>
      <c r="BC210">
        <v>154.69999999999999</v>
      </c>
    </row>
    <row r="211" spans="3:55" x14ac:dyDescent="0.3">
      <c r="C211">
        <v>150.6</v>
      </c>
      <c r="E211">
        <v>187.1</v>
      </c>
      <c r="G211">
        <v>162.4</v>
      </c>
      <c r="I211">
        <v>155.6</v>
      </c>
      <c r="K211">
        <v>178.5</v>
      </c>
      <c r="M211">
        <v>153.5</v>
      </c>
      <c r="O211">
        <v>165.4</v>
      </c>
      <c r="Q211">
        <v>165.1</v>
      </c>
      <c r="U211">
        <v>162.6</v>
      </c>
      <c r="W211">
        <v>157.1</v>
      </c>
      <c r="Y211">
        <v>159.1</v>
      </c>
      <c r="AA211">
        <v>161.69999999999999</v>
      </c>
      <c r="AC211">
        <v>166.3</v>
      </c>
      <c r="AE211">
        <v>152.1</v>
      </c>
      <c r="AG211">
        <v>146.1</v>
      </c>
      <c r="AI211">
        <v>151.1</v>
      </c>
      <c r="AM211">
        <v>154.9</v>
      </c>
      <c r="AO211">
        <v>150.19999999999999</v>
      </c>
      <c r="AQ211">
        <v>152.19999999999999</v>
      </c>
      <c r="AS211">
        <v>157.1</v>
      </c>
      <c r="AU211">
        <v>144.30000000000001</v>
      </c>
      <c r="AW211">
        <v>157.6</v>
      </c>
      <c r="AY211">
        <v>156.80000000000001</v>
      </c>
      <c r="BA211">
        <v>148.6</v>
      </c>
      <c r="BC211">
        <v>155.19999999999999</v>
      </c>
    </row>
    <row r="212" spans="3:55" x14ac:dyDescent="0.3">
      <c r="C212">
        <v>151</v>
      </c>
      <c r="E212">
        <v>187.2</v>
      </c>
      <c r="G212">
        <v>163.19999999999999</v>
      </c>
      <c r="I212">
        <v>155.80000000000001</v>
      </c>
      <c r="K212">
        <v>178.7</v>
      </c>
      <c r="M212">
        <v>153.69999999999999</v>
      </c>
      <c r="O212">
        <v>165.5</v>
      </c>
      <c r="Q212">
        <v>165.2</v>
      </c>
      <c r="U212">
        <v>162.80000000000001</v>
      </c>
      <c r="W212">
        <v>157.5</v>
      </c>
      <c r="Y212">
        <v>159.19999999999999</v>
      </c>
      <c r="AA212">
        <v>161.80000000000001</v>
      </c>
      <c r="AC212">
        <v>166.5</v>
      </c>
      <c r="AE212">
        <v>152.30000000000001</v>
      </c>
      <c r="AG212">
        <v>146.5</v>
      </c>
      <c r="AI212">
        <v>151.30000000000001</v>
      </c>
      <c r="AM212">
        <v>155.5</v>
      </c>
      <c r="AO212">
        <v>150.30000000000001</v>
      </c>
      <c r="AQ212">
        <v>152.30000000000001</v>
      </c>
      <c r="AS212">
        <v>157.19999999999999</v>
      </c>
      <c r="AU212">
        <v>144.4</v>
      </c>
      <c r="AW212">
        <v>157.69999999999999</v>
      </c>
      <c r="AY212">
        <v>156.9</v>
      </c>
      <c r="BA212">
        <v>149</v>
      </c>
      <c r="BC212">
        <v>155.4</v>
      </c>
    </row>
    <row r="213" spans="3:55" x14ac:dyDescent="0.3">
      <c r="C213">
        <v>151.30000000000001</v>
      </c>
      <c r="E213">
        <v>187.5</v>
      </c>
      <c r="G213">
        <v>163.4</v>
      </c>
      <c r="I213">
        <v>156</v>
      </c>
      <c r="K213">
        <v>179.1</v>
      </c>
      <c r="M213">
        <v>153.9</v>
      </c>
      <c r="O213">
        <v>165.8</v>
      </c>
      <c r="Q213">
        <v>165.3</v>
      </c>
      <c r="U213">
        <v>163</v>
      </c>
      <c r="W213">
        <v>157.6</v>
      </c>
      <c r="Y213">
        <v>159.6</v>
      </c>
      <c r="AA213">
        <v>162</v>
      </c>
      <c r="AC213">
        <v>166.7</v>
      </c>
      <c r="AE213">
        <v>152.5</v>
      </c>
      <c r="AG213">
        <v>146.6</v>
      </c>
      <c r="AI213">
        <v>151.4</v>
      </c>
      <c r="AM213">
        <v>155.6</v>
      </c>
      <c r="AO213">
        <v>150.6</v>
      </c>
      <c r="AQ213">
        <v>152.69999999999999</v>
      </c>
      <c r="AS213">
        <v>157.4</v>
      </c>
      <c r="AU213">
        <v>144.5</v>
      </c>
      <c r="AW213">
        <v>158.1</v>
      </c>
      <c r="AY213">
        <v>157</v>
      </c>
      <c r="BA213">
        <v>149.30000000000001</v>
      </c>
      <c r="BC213">
        <v>156</v>
      </c>
    </row>
    <row r="214" spans="3:55" x14ac:dyDescent="0.3">
      <c r="C214">
        <v>151.5</v>
      </c>
      <c r="E214">
        <v>188.5</v>
      </c>
      <c r="G214">
        <v>163.80000000000001</v>
      </c>
      <c r="I214">
        <v>156.1</v>
      </c>
      <c r="K214">
        <v>179.2</v>
      </c>
      <c r="M214">
        <v>154</v>
      </c>
      <c r="O214">
        <v>166.1</v>
      </c>
      <c r="Q214">
        <v>165.4</v>
      </c>
      <c r="U214">
        <v>163.5</v>
      </c>
      <c r="W214">
        <v>158.5</v>
      </c>
      <c r="Y214">
        <v>160</v>
      </c>
      <c r="AA214">
        <v>162.1</v>
      </c>
      <c r="AC214">
        <v>167.1</v>
      </c>
      <c r="AE214">
        <v>152.6</v>
      </c>
      <c r="AG214">
        <v>146.69999999999999</v>
      </c>
      <c r="AI214">
        <v>151.5</v>
      </c>
      <c r="AM214">
        <v>156</v>
      </c>
      <c r="AO214">
        <v>150.69999999999999</v>
      </c>
      <c r="AQ214">
        <v>152.9</v>
      </c>
      <c r="AS214">
        <v>157.69999999999999</v>
      </c>
      <c r="AU214">
        <v>145.4</v>
      </c>
      <c r="AW214">
        <v>158.5</v>
      </c>
      <c r="AY214">
        <v>157.1</v>
      </c>
      <c r="BA214">
        <v>150</v>
      </c>
      <c r="BC214">
        <v>156.4</v>
      </c>
    </row>
    <row r="215" spans="3:55" x14ac:dyDescent="0.3">
      <c r="C215">
        <v>151.6</v>
      </c>
      <c r="E215">
        <v>188.6</v>
      </c>
      <c r="G215">
        <v>164.1</v>
      </c>
      <c r="I215">
        <v>156.19999999999999</v>
      </c>
      <c r="K215">
        <v>179.3</v>
      </c>
      <c r="M215">
        <v>154.1</v>
      </c>
      <c r="O215">
        <v>166.2</v>
      </c>
      <c r="Q215">
        <v>165.5</v>
      </c>
      <c r="U215">
        <v>163.9</v>
      </c>
      <c r="W215">
        <v>159.1</v>
      </c>
      <c r="Y215">
        <v>161.5</v>
      </c>
      <c r="AA215">
        <v>162.6</v>
      </c>
      <c r="AC215">
        <v>167.2</v>
      </c>
      <c r="AE215">
        <v>152.80000000000001</v>
      </c>
      <c r="AG215">
        <v>147</v>
      </c>
      <c r="AI215">
        <v>151.69999999999999</v>
      </c>
      <c r="AM215">
        <v>156.1</v>
      </c>
      <c r="AO215">
        <v>150.9</v>
      </c>
      <c r="AQ215">
        <v>153.4</v>
      </c>
      <c r="AS215">
        <v>157.80000000000001</v>
      </c>
      <c r="AU215">
        <v>145.9</v>
      </c>
      <c r="AW215">
        <v>158.6</v>
      </c>
      <c r="AY215">
        <v>157.4</v>
      </c>
      <c r="BA215">
        <v>150.4</v>
      </c>
      <c r="BC215">
        <v>156.5</v>
      </c>
    </row>
    <row r="216" spans="3:55" x14ac:dyDescent="0.3">
      <c r="C216">
        <v>151.80000000000001</v>
      </c>
      <c r="E216">
        <v>188.9</v>
      </c>
      <c r="G216">
        <v>164.5</v>
      </c>
      <c r="I216">
        <v>156.5</v>
      </c>
      <c r="K216">
        <v>180</v>
      </c>
      <c r="M216">
        <v>154.4</v>
      </c>
      <c r="O216">
        <v>166.5</v>
      </c>
      <c r="Q216">
        <v>165.9</v>
      </c>
      <c r="U216">
        <v>164</v>
      </c>
      <c r="W216">
        <v>159.30000000000001</v>
      </c>
      <c r="Y216">
        <v>161.6</v>
      </c>
      <c r="AA216">
        <v>163.4</v>
      </c>
      <c r="AC216">
        <v>167.8</v>
      </c>
      <c r="AE216">
        <v>153</v>
      </c>
      <c r="AG216">
        <v>147.30000000000001</v>
      </c>
      <c r="AI216">
        <v>151.80000000000001</v>
      </c>
      <c r="AM216">
        <v>157.69999999999999</v>
      </c>
      <c r="AO216">
        <v>151.19999999999999</v>
      </c>
      <c r="AQ216">
        <v>153.69999999999999</v>
      </c>
      <c r="AS216">
        <v>157.9</v>
      </c>
      <c r="AU216">
        <v>146</v>
      </c>
      <c r="AW216">
        <v>159.1</v>
      </c>
      <c r="AY216">
        <v>157.5</v>
      </c>
      <c r="BA216">
        <v>150.5</v>
      </c>
      <c r="BC216">
        <v>156.6</v>
      </c>
    </row>
    <row r="217" spans="3:55" x14ac:dyDescent="0.3">
      <c r="C217">
        <v>152.19999999999999</v>
      </c>
      <c r="E217">
        <v>189.4</v>
      </c>
      <c r="G217">
        <v>164.6</v>
      </c>
      <c r="I217">
        <v>157.1</v>
      </c>
      <c r="K217">
        <v>182.1</v>
      </c>
      <c r="M217">
        <v>154.5</v>
      </c>
      <c r="O217">
        <v>166.9</v>
      </c>
      <c r="Q217">
        <v>166</v>
      </c>
      <c r="U217">
        <v>164.2</v>
      </c>
      <c r="W217">
        <v>159.80000000000001</v>
      </c>
      <c r="Y217">
        <v>161.69999999999999</v>
      </c>
      <c r="AA217">
        <v>163.9</v>
      </c>
      <c r="AC217">
        <v>167.9</v>
      </c>
      <c r="AE217">
        <v>153.1</v>
      </c>
      <c r="AG217">
        <v>147.4</v>
      </c>
      <c r="AI217">
        <v>151.9</v>
      </c>
      <c r="AM217">
        <v>159.4</v>
      </c>
      <c r="AO217">
        <v>151.5</v>
      </c>
      <c r="AQ217">
        <v>154.1</v>
      </c>
      <c r="AS217">
        <v>158.19999999999999</v>
      </c>
      <c r="AU217">
        <v>146.4</v>
      </c>
      <c r="AW217">
        <v>159.19999999999999</v>
      </c>
      <c r="AY217">
        <v>157.69999999999999</v>
      </c>
      <c r="BA217">
        <v>150.69999999999999</v>
      </c>
      <c r="BC217">
        <v>156.69999999999999</v>
      </c>
    </row>
    <row r="218" spans="3:55" x14ac:dyDescent="0.3">
      <c r="C218">
        <v>152.5</v>
      </c>
      <c r="E218">
        <v>190.1</v>
      </c>
      <c r="G218">
        <v>164.7</v>
      </c>
      <c r="I218">
        <v>157.5</v>
      </c>
      <c r="K218">
        <v>182.5</v>
      </c>
      <c r="M218">
        <v>154.6</v>
      </c>
      <c r="O218">
        <v>167</v>
      </c>
      <c r="Q218">
        <v>166.9</v>
      </c>
      <c r="U218">
        <v>164.4</v>
      </c>
      <c r="W218">
        <v>160</v>
      </c>
      <c r="Y218">
        <v>161.80000000000001</v>
      </c>
      <c r="AA218">
        <v>164</v>
      </c>
      <c r="AC218">
        <v>168.5</v>
      </c>
      <c r="AE218">
        <v>153.4</v>
      </c>
      <c r="AG218">
        <v>147.5</v>
      </c>
      <c r="AI218">
        <v>152</v>
      </c>
      <c r="AM218">
        <v>159.80000000000001</v>
      </c>
      <c r="AO218">
        <v>151.6</v>
      </c>
      <c r="AQ218">
        <v>154.30000000000001</v>
      </c>
      <c r="AS218">
        <v>158.80000000000001</v>
      </c>
      <c r="AU218">
        <v>146.5</v>
      </c>
      <c r="AW218">
        <v>159.4</v>
      </c>
      <c r="AY218">
        <v>157.9</v>
      </c>
      <c r="BA218">
        <v>151.19999999999999</v>
      </c>
      <c r="BC218">
        <v>156.80000000000001</v>
      </c>
    </row>
    <row r="219" spans="3:55" x14ac:dyDescent="0.3">
      <c r="C219">
        <v>152.69999999999999</v>
      </c>
      <c r="E219">
        <v>190.3</v>
      </c>
      <c r="G219">
        <v>164.8</v>
      </c>
      <c r="I219">
        <v>158</v>
      </c>
      <c r="K219">
        <v>183.3</v>
      </c>
      <c r="M219">
        <v>154.69999999999999</v>
      </c>
      <c r="O219">
        <v>167.3</v>
      </c>
      <c r="Q219">
        <v>167.1</v>
      </c>
      <c r="U219">
        <v>164.5</v>
      </c>
      <c r="W219">
        <v>160.5</v>
      </c>
      <c r="Y219">
        <v>161.9</v>
      </c>
      <c r="AA219">
        <v>164.1</v>
      </c>
      <c r="AC219">
        <v>168.6</v>
      </c>
      <c r="AE219">
        <v>153.69999999999999</v>
      </c>
      <c r="AG219">
        <v>147.6</v>
      </c>
      <c r="AI219">
        <v>152.1</v>
      </c>
      <c r="AM219">
        <v>160.69999999999999</v>
      </c>
      <c r="AO219">
        <v>151.69999999999999</v>
      </c>
      <c r="AQ219">
        <v>154.4</v>
      </c>
      <c r="AS219">
        <v>158.9</v>
      </c>
      <c r="AU219">
        <v>146.6</v>
      </c>
      <c r="AW219">
        <v>159.5</v>
      </c>
      <c r="AY219">
        <v>158</v>
      </c>
      <c r="BA219">
        <v>151.69999999999999</v>
      </c>
      <c r="BC219">
        <v>156.9</v>
      </c>
    </row>
    <row r="220" spans="3:55" x14ac:dyDescent="0.3">
      <c r="C220">
        <v>152.9</v>
      </c>
      <c r="E220">
        <v>190.9</v>
      </c>
      <c r="G220">
        <v>166.4</v>
      </c>
      <c r="I220">
        <v>158.19999999999999</v>
      </c>
      <c r="K220">
        <v>183.4</v>
      </c>
      <c r="M220">
        <v>154.9</v>
      </c>
      <c r="O220">
        <v>167.4</v>
      </c>
      <c r="Q220">
        <v>167.2</v>
      </c>
      <c r="U220">
        <v>165</v>
      </c>
      <c r="W220">
        <v>160.6</v>
      </c>
      <c r="Y220">
        <v>162.30000000000001</v>
      </c>
      <c r="AA220">
        <v>164.2</v>
      </c>
      <c r="AC220">
        <v>169.2</v>
      </c>
      <c r="AE220">
        <v>154.19999999999999</v>
      </c>
      <c r="AG220">
        <v>147.9</v>
      </c>
      <c r="AI220">
        <v>152.30000000000001</v>
      </c>
      <c r="AM220">
        <v>160.80000000000001</v>
      </c>
      <c r="AO220">
        <v>151.80000000000001</v>
      </c>
      <c r="AQ220">
        <v>154.80000000000001</v>
      </c>
      <c r="AS220">
        <v>159.30000000000001</v>
      </c>
      <c r="AU220">
        <v>147.30000000000001</v>
      </c>
      <c r="AW220">
        <v>159.69999999999999</v>
      </c>
      <c r="AY220">
        <v>158.1</v>
      </c>
      <c r="BA220">
        <v>151.9</v>
      </c>
      <c r="BC220">
        <v>157.30000000000001</v>
      </c>
    </row>
    <row r="221" spans="3:55" x14ac:dyDescent="0.3">
      <c r="C221">
        <v>153.69999999999999</v>
      </c>
      <c r="E221">
        <v>191</v>
      </c>
      <c r="G221">
        <v>167.7</v>
      </c>
      <c r="I221">
        <v>158.4</v>
      </c>
      <c r="K221">
        <v>183.7</v>
      </c>
      <c r="M221">
        <v>155.4</v>
      </c>
      <c r="O221">
        <v>168</v>
      </c>
      <c r="Q221">
        <v>167.3</v>
      </c>
      <c r="U221">
        <v>165.2</v>
      </c>
      <c r="W221">
        <v>160.9</v>
      </c>
      <c r="Y221">
        <v>162.69999999999999</v>
      </c>
      <c r="AA221">
        <v>164.4</v>
      </c>
      <c r="AC221">
        <v>169.3</v>
      </c>
      <c r="AE221">
        <v>154.30000000000001</v>
      </c>
      <c r="AG221">
        <v>148.5</v>
      </c>
      <c r="AI221">
        <v>152.5</v>
      </c>
      <c r="AM221">
        <v>161.6</v>
      </c>
      <c r="AO221">
        <v>151.9</v>
      </c>
      <c r="AQ221">
        <v>155</v>
      </c>
      <c r="AS221">
        <v>159.4</v>
      </c>
      <c r="AU221">
        <v>147.5</v>
      </c>
      <c r="AW221">
        <v>160.19999999999999</v>
      </c>
      <c r="AY221">
        <v>158.4</v>
      </c>
      <c r="BA221">
        <v>152.30000000000001</v>
      </c>
      <c r="BC221">
        <v>157.5</v>
      </c>
    </row>
    <row r="222" spans="3:55" x14ac:dyDescent="0.3">
      <c r="C222">
        <v>153.80000000000001</v>
      </c>
      <c r="E222">
        <v>191.2</v>
      </c>
      <c r="G222">
        <v>167.8</v>
      </c>
      <c r="I222">
        <v>158.69999999999999</v>
      </c>
      <c r="K222">
        <v>184.4</v>
      </c>
      <c r="M222">
        <v>155.69999999999999</v>
      </c>
      <c r="O222">
        <v>168.2</v>
      </c>
      <c r="Q222">
        <v>167.4</v>
      </c>
      <c r="U222">
        <v>165.5</v>
      </c>
      <c r="W222">
        <v>161.1</v>
      </c>
      <c r="Y222">
        <v>162.9</v>
      </c>
      <c r="AA222">
        <v>164.5</v>
      </c>
      <c r="AC222">
        <v>169.4</v>
      </c>
      <c r="AE222">
        <v>154.69999999999999</v>
      </c>
      <c r="AG222">
        <v>149.30000000000001</v>
      </c>
      <c r="AI222">
        <v>152.6</v>
      </c>
      <c r="AM222">
        <v>161.69999999999999</v>
      </c>
      <c r="AO222">
        <v>152</v>
      </c>
      <c r="AQ222">
        <v>155.6</v>
      </c>
      <c r="AS222">
        <v>159.5</v>
      </c>
      <c r="AU222">
        <v>148</v>
      </c>
      <c r="AW222">
        <v>160.30000000000001</v>
      </c>
      <c r="AY222">
        <v>158.6</v>
      </c>
      <c r="BA222">
        <v>153</v>
      </c>
      <c r="BC222">
        <v>157.6</v>
      </c>
    </row>
    <row r="223" spans="3:55" x14ac:dyDescent="0.3">
      <c r="C223">
        <v>154.1</v>
      </c>
      <c r="E223">
        <v>192.2</v>
      </c>
      <c r="G223">
        <v>167.9</v>
      </c>
      <c r="I223">
        <v>159.1</v>
      </c>
      <c r="K223">
        <v>184.7</v>
      </c>
      <c r="M223">
        <v>155.9</v>
      </c>
      <c r="O223">
        <v>168.5</v>
      </c>
      <c r="Q223">
        <v>167.5</v>
      </c>
      <c r="U223">
        <v>166.2</v>
      </c>
      <c r="W223">
        <v>161.6</v>
      </c>
      <c r="Y223">
        <v>163.19999999999999</v>
      </c>
      <c r="AA223">
        <v>164.7</v>
      </c>
      <c r="AC223">
        <v>169.9</v>
      </c>
      <c r="AE223">
        <v>155</v>
      </c>
      <c r="AG223">
        <v>149.9</v>
      </c>
      <c r="AI223">
        <v>152.80000000000001</v>
      </c>
      <c r="AM223">
        <v>162.1</v>
      </c>
      <c r="AO223">
        <v>152.80000000000001</v>
      </c>
      <c r="AQ223">
        <v>155.69999999999999</v>
      </c>
      <c r="AS223">
        <v>159.80000000000001</v>
      </c>
      <c r="AU223">
        <v>148.30000000000001</v>
      </c>
      <c r="AW223">
        <v>160.4</v>
      </c>
      <c r="AY223">
        <v>158.80000000000001</v>
      </c>
      <c r="BA223">
        <v>153.4</v>
      </c>
      <c r="BC223">
        <v>157.80000000000001</v>
      </c>
    </row>
    <row r="224" spans="3:55" x14ac:dyDescent="0.3">
      <c r="C224">
        <v>155</v>
      </c>
      <c r="E224">
        <v>192.7</v>
      </c>
      <c r="G224">
        <v>168</v>
      </c>
      <c r="I224">
        <v>159.19999999999999</v>
      </c>
      <c r="K224">
        <v>184.8</v>
      </c>
      <c r="M224">
        <v>156.30000000000001</v>
      </c>
      <c r="O224">
        <v>168.6</v>
      </c>
      <c r="Q224">
        <v>167.9</v>
      </c>
      <c r="U224">
        <v>166.8</v>
      </c>
      <c r="W224">
        <v>161.9</v>
      </c>
      <c r="Y224">
        <v>163.30000000000001</v>
      </c>
      <c r="AA224">
        <v>165.4</v>
      </c>
      <c r="AC224">
        <v>170.1</v>
      </c>
      <c r="AE224">
        <v>155.1</v>
      </c>
      <c r="AG224">
        <v>150</v>
      </c>
      <c r="AI224">
        <v>153.4</v>
      </c>
      <c r="AM224">
        <v>162.19999999999999</v>
      </c>
      <c r="AO224">
        <v>153.19999999999999</v>
      </c>
      <c r="AQ224">
        <v>156.19999999999999</v>
      </c>
      <c r="AS224">
        <v>160.1</v>
      </c>
      <c r="AU224">
        <v>148.4</v>
      </c>
      <c r="AW224">
        <v>160.6</v>
      </c>
      <c r="AY224">
        <v>159.30000000000001</v>
      </c>
      <c r="BA224">
        <v>153.69999999999999</v>
      </c>
      <c r="BC224">
        <v>158</v>
      </c>
    </row>
    <row r="225" spans="3:55" x14ac:dyDescent="0.3">
      <c r="C225">
        <v>155.19999999999999</v>
      </c>
      <c r="E225">
        <v>193.1</v>
      </c>
      <c r="G225">
        <v>168.3</v>
      </c>
      <c r="I225">
        <v>159.30000000000001</v>
      </c>
      <c r="K225">
        <v>184.9</v>
      </c>
      <c r="M225">
        <v>156.4</v>
      </c>
      <c r="O225">
        <v>169.7</v>
      </c>
      <c r="Q225">
        <v>168.7</v>
      </c>
      <c r="U225">
        <v>167.2</v>
      </c>
      <c r="W225">
        <v>162.1</v>
      </c>
      <c r="Y225">
        <v>163.6</v>
      </c>
      <c r="AA225">
        <v>165.5</v>
      </c>
      <c r="AC225">
        <v>170.4</v>
      </c>
      <c r="AE225">
        <v>155.4</v>
      </c>
      <c r="AG225">
        <v>150.4</v>
      </c>
      <c r="AI225">
        <v>153.6</v>
      </c>
      <c r="AM225">
        <v>162.5</v>
      </c>
      <c r="AO225">
        <v>153.30000000000001</v>
      </c>
      <c r="AQ225">
        <v>156.30000000000001</v>
      </c>
      <c r="AS225">
        <v>160.4</v>
      </c>
      <c r="AU225">
        <v>148.5</v>
      </c>
      <c r="AW225">
        <v>160.69999999999999</v>
      </c>
      <c r="AY225">
        <v>159.4</v>
      </c>
      <c r="BA225">
        <v>153.80000000000001</v>
      </c>
      <c r="BC225">
        <v>158.4</v>
      </c>
    </row>
    <row r="226" spans="3:55" x14ac:dyDescent="0.3">
      <c r="C226">
        <v>155.4</v>
      </c>
      <c r="E226">
        <v>193.7</v>
      </c>
      <c r="G226">
        <v>168.6</v>
      </c>
      <c r="I226">
        <v>159.6</v>
      </c>
      <c r="K226">
        <v>186</v>
      </c>
      <c r="M226">
        <v>156.5</v>
      </c>
      <c r="O226">
        <v>169.8</v>
      </c>
      <c r="Q226">
        <v>169</v>
      </c>
      <c r="U226">
        <v>168.2</v>
      </c>
      <c r="W226">
        <v>162.69999999999999</v>
      </c>
      <c r="Y226">
        <v>163.80000000000001</v>
      </c>
      <c r="AA226">
        <v>165.8</v>
      </c>
      <c r="AC226">
        <v>170.5</v>
      </c>
      <c r="AE226">
        <v>155.5</v>
      </c>
      <c r="AG226">
        <v>150.6</v>
      </c>
      <c r="AI226">
        <v>154.1</v>
      </c>
      <c r="AM226">
        <v>162.6</v>
      </c>
      <c r="AO226">
        <v>153.4</v>
      </c>
      <c r="AQ226">
        <v>156.69999999999999</v>
      </c>
      <c r="AS226">
        <v>160.80000000000001</v>
      </c>
      <c r="AU226">
        <v>148.6</v>
      </c>
      <c r="AW226">
        <v>160.80000000000001</v>
      </c>
      <c r="AY226">
        <v>159.6</v>
      </c>
      <c r="BA226">
        <v>154.30000000000001</v>
      </c>
      <c r="BC226">
        <v>158.5</v>
      </c>
    </row>
    <row r="227" spans="3:55" x14ac:dyDescent="0.3">
      <c r="C227">
        <v>156.5</v>
      </c>
      <c r="E227">
        <v>194.8</v>
      </c>
      <c r="G227">
        <v>168.7</v>
      </c>
      <c r="I227">
        <v>159.80000000000001</v>
      </c>
      <c r="K227">
        <v>186.5</v>
      </c>
      <c r="M227">
        <v>156.69999999999999</v>
      </c>
      <c r="O227">
        <v>170.4</v>
      </c>
      <c r="Q227">
        <v>169.1</v>
      </c>
      <c r="U227">
        <v>168.3</v>
      </c>
      <c r="W227">
        <v>162.80000000000001</v>
      </c>
      <c r="Y227">
        <v>164.3</v>
      </c>
      <c r="AA227">
        <v>166.2</v>
      </c>
      <c r="AC227">
        <v>170.8</v>
      </c>
      <c r="AE227">
        <v>155.69999999999999</v>
      </c>
      <c r="AG227">
        <v>151</v>
      </c>
      <c r="AI227">
        <v>154.19999999999999</v>
      </c>
      <c r="AM227">
        <v>163</v>
      </c>
      <c r="AO227">
        <v>153.9</v>
      </c>
      <c r="AQ227">
        <v>156.9</v>
      </c>
      <c r="AS227">
        <v>161.1</v>
      </c>
      <c r="AU227">
        <v>148.69999999999999</v>
      </c>
      <c r="AW227">
        <v>161</v>
      </c>
      <c r="AY227">
        <v>159.80000000000001</v>
      </c>
      <c r="BA227">
        <v>154.4</v>
      </c>
      <c r="BC227">
        <v>158.9</v>
      </c>
    </row>
    <row r="228" spans="3:55" x14ac:dyDescent="0.3">
      <c r="C228">
        <v>156.69999999999999</v>
      </c>
      <c r="E228">
        <v>195.5</v>
      </c>
      <c r="G228">
        <v>169</v>
      </c>
      <c r="I228">
        <v>159.9</v>
      </c>
      <c r="K228">
        <v>187.2</v>
      </c>
      <c r="M228">
        <v>156.80000000000001</v>
      </c>
      <c r="O228">
        <v>170.7</v>
      </c>
      <c r="Q228">
        <v>169.2</v>
      </c>
      <c r="U228">
        <v>168.5</v>
      </c>
      <c r="W228">
        <v>163.19999999999999</v>
      </c>
      <c r="Y228">
        <v>164.4</v>
      </c>
      <c r="AA228">
        <v>166.4</v>
      </c>
      <c r="AC228">
        <v>171.2</v>
      </c>
      <c r="AE228">
        <v>155.9</v>
      </c>
      <c r="AG228">
        <v>151.6</v>
      </c>
      <c r="AI228">
        <v>154.30000000000001</v>
      </c>
      <c r="AM228">
        <v>163.1</v>
      </c>
      <c r="AO228">
        <v>154.30000000000001</v>
      </c>
      <c r="AQ228">
        <v>157.19999999999999</v>
      </c>
      <c r="AS228">
        <v>161.19999999999999</v>
      </c>
      <c r="AU228">
        <v>149.1</v>
      </c>
      <c r="AW228">
        <v>161.1</v>
      </c>
      <c r="AY228">
        <v>160</v>
      </c>
      <c r="BA228">
        <v>154.5</v>
      </c>
      <c r="BC228">
        <v>159.5</v>
      </c>
    </row>
    <row r="229" spans="3:55" x14ac:dyDescent="0.3">
      <c r="C229">
        <v>157.5</v>
      </c>
      <c r="E229">
        <v>195.7</v>
      </c>
      <c r="G229">
        <v>169.2</v>
      </c>
      <c r="I229">
        <v>160</v>
      </c>
      <c r="K229">
        <v>187.6</v>
      </c>
      <c r="M229">
        <v>157.30000000000001</v>
      </c>
      <c r="O229">
        <v>171</v>
      </c>
      <c r="Q229">
        <v>169.7</v>
      </c>
      <c r="U229">
        <v>168.8</v>
      </c>
      <c r="W229">
        <v>163.69999999999999</v>
      </c>
      <c r="Y229">
        <v>164.8</v>
      </c>
      <c r="AA229">
        <v>166.6</v>
      </c>
      <c r="AC229">
        <v>172</v>
      </c>
      <c r="AE229">
        <v>156.30000000000001</v>
      </c>
      <c r="AG229">
        <v>151.80000000000001</v>
      </c>
      <c r="AI229">
        <v>154.6</v>
      </c>
      <c r="AM229">
        <v>163.69999999999999</v>
      </c>
      <c r="AO229">
        <v>154.69999999999999</v>
      </c>
      <c r="AQ229">
        <v>157.5</v>
      </c>
      <c r="AS229">
        <v>161.6</v>
      </c>
      <c r="AU229">
        <v>149.5</v>
      </c>
      <c r="AW229">
        <v>161.19999999999999</v>
      </c>
      <c r="AY229">
        <v>160.1</v>
      </c>
      <c r="BA229">
        <v>155</v>
      </c>
      <c r="BC229">
        <v>159.80000000000001</v>
      </c>
    </row>
    <row r="230" spans="3:55" x14ac:dyDescent="0.3">
      <c r="C230">
        <v>159.30000000000001</v>
      </c>
      <c r="E230">
        <v>196.9</v>
      </c>
      <c r="G230">
        <v>169.6</v>
      </c>
      <c r="I230">
        <v>160.4</v>
      </c>
      <c r="K230">
        <v>188</v>
      </c>
      <c r="M230">
        <v>157.5</v>
      </c>
      <c r="O230">
        <v>171.2</v>
      </c>
      <c r="Q230">
        <v>169.8</v>
      </c>
      <c r="U230">
        <v>169.3</v>
      </c>
      <c r="W230">
        <v>164.2</v>
      </c>
      <c r="Y230">
        <v>165.1</v>
      </c>
      <c r="AA230">
        <v>167</v>
      </c>
      <c r="AC230">
        <v>173.3</v>
      </c>
      <c r="AE230">
        <v>156.5</v>
      </c>
      <c r="AG230">
        <v>152.1</v>
      </c>
      <c r="AI230">
        <v>154.80000000000001</v>
      </c>
      <c r="AM230">
        <v>163.9</v>
      </c>
      <c r="AO230">
        <v>154.80000000000001</v>
      </c>
      <c r="AQ230">
        <v>158.19999999999999</v>
      </c>
      <c r="AS230">
        <v>161.9</v>
      </c>
      <c r="AU230">
        <v>149.6</v>
      </c>
      <c r="AW230">
        <v>161.6</v>
      </c>
      <c r="AY230">
        <v>160.19999999999999</v>
      </c>
      <c r="BA230">
        <v>155.19999999999999</v>
      </c>
      <c r="BC230">
        <v>160.4</v>
      </c>
    </row>
    <row r="231" spans="3:55" x14ac:dyDescent="0.3">
      <c r="C231">
        <v>159.5</v>
      </c>
      <c r="E231">
        <v>197</v>
      </c>
      <c r="G231">
        <v>169.7</v>
      </c>
      <c r="I231">
        <v>160.5</v>
      </c>
      <c r="K231">
        <v>188.5</v>
      </c>
      <c r="M231">
        <v>157.6</v>
      </c>
      <c r="O231">
        <v>171.6</v>
      </c>
      <c r="Q231">
        <v>169.9</v>
      </c>
      <c r="U231">
        <v>169.6</v>
      </c>
      <c r="W231">
        <v>164.3</v>
      </c>
      <c r="Y231">
        <v>165.6</v>
      </c>
      <c r="AA231">
        <v>167.3</v>
      </c>
      <c r="AC231">
        <v>180.9</v>
      </c>
      <c r="AE231">
        <v>157</v>
      </c>
      <c r="AG231">
        <v>152.4</v>
      </c>
      <c r="AI231">
        <v>155</v>
      </c>
      <c r="AM231">
        <v>164.1</v>
      </c>
      <c r="AO231">
        <v>155.19999999999999</v>
      </c>
      <c r="AQ231">
        <v>158.30000000000001</v>
      </c>
      <c r="AS231">
        <v>162</v>
      </c>
      <c r="AU231">
        <v>150.1</v>
      </c>
      <c r="AW231">
        <v>161.69999999999999</v>
      </c>
      <c r="AY231">
        <v>160.30000000000001</v>
      </c>
      <c r="BA231">
        <v>155.9</v>
      </c>
      <c r="BC231">
        <v>160.69999999999999</v>
      </c>
    </row>
    <row r="232" spans="3:55" x14ac:dyDescent="0.3">
      <c r="C232">
        <v>160.30000000000001</v>
      </c>
      <c r="E232">
        <v>197.5</v>
      </c>
      <c r="G232">
        <v>169.9</v>
      </c>
      <c r="I232">
        <v>160.6</v>
      </c>
      <c r="K232">
        <v>188.6</v>
      </c>
      <c r="M232">
        <v>157.69999999999999</v>
      </c>
      <c r="O232">
        <v>172.3</v>
      </c>
      <c r="Q232">
        <v>170</v>
      </c>
      <c r="U232">
        <v>169.7</v>
      </c>
      <c r="W232">
        <v>164.6</v>
      </c>
      <c r="Y232">
        <v>165.8</v>
      </c>
      <c r="AA232">
        <v>167.5</v>
      </c>
      <c r="AC232">
        <v>182.4</v>
      </c>
      <c r="AE232">
        <v>157.19999999999999</v>
      </c>
      <c r="AG232">
        <v>152.6</v>
      </c>
      <c r="AI232">
        <v>155.5</v>
      </c>
      <c r="AM232">
        <v>164.2</v>
      </c>
      <c r="AO232">
        <v>155.5</v>
      </c>
      <c r="AQ232">
        <v>158.80000000000001</v>
      </c>
      <c r="AS232">
        <v>162.30000000000001</v>
      </c>
      <c r="AU232">
        <v>150.4</v>
      </c>
      <c r="AW232">
        <v>161.80000000000001</v>
      </c>
      <c r="AY232">
        <v>160.4</v>
      </c>
      <c r="BA232">
        <v>156</v>
      </c>
      <c r="BC232">
        <v>161.1</v>
      </c>
    </row>
    <row r="233" spans="3:55" x14ac:dyDescent="0.3">
      <c r="C233">
        <v>162.1</v>
      </c>
      <c r="E233">
        <v>197.8</v>
      </c>
      <c r="G233">
        <v>170.1</v>
      </c>
      <c r="I233">
        <v>160.69999999999999</v>
      </c>
      <c r="K233">
        <v>188.7</v>
      </c>
      <c r="M233">
        <v>158</v>
      </c>
      <c r="O233">
        <v>172.4</v>
      </c>
      <c r="Q233">
        <v>170.2</v>
      </c>
      <c r="U233">
        <v>169.8</v>
      </c>
      <c r="W233">
        <v>164.7</v>
      </c>
      <c r="Y233">
        <v>166.1</v>
      </c>
      <c r="AA233">
        <v>167.7</v>
      </c>
      <c r="AC233">
        <v>182.6</v>
      </c>
      <c r="AE233">
        <v>157.30000000000001</v>
      </c>
      <c r="AG233">
        <v>153.1</v>
      </c>
      <c r="AI233">
        <v>155.80000000000001</v>
      </c>
      <c r="AM233">
        <v>164.5</v>
      </c>
      <c r="AO233">
        <v>155.80000000000001</v>
      </c>
      <c r="AQ233">
        <v>159.1</v>
      </c>
      <c r="AS233">
        <v>162.6</v>
      </c>
      <c r="AU233">
        <v>150.69999999999999</v>
      </c>
      <c r="AW233">
        <v>161.9</v>
      </c>
      <c r="AY233">
        <v>160.80000000000001</v>
      </c>
      <c r="BA233">
        <v>156.80000000000001</v>
      </c>
      <c r="BC233">
        <v>161.30000000000001</v>
      </c>
    </row>
    <row r="234" spans="3:55" x14ac:dyDescent="0.3">
      <c r="C234">
        <v>162.9</v>
      </c>
      <c r="E234">
        <v>198</v>
      </c>
      <c r="G234">
        <v>170.3</v>
      </c>
      <c r="I234">
        <v>162</v>
      </c>
      <c r="K234">
        <v>188.9</v>
      </c>
      <c r="M234">
        <v>158.30000000000001</v>
      </c>
      <c r="O234">
        <v>173.1</v>
      </c>
      <c r="Q234">
        <v>170.3</v>
      </c>
      <c r="U234">
        <v>170</v>
      </c>
      <c r="W234">
        <v>164.9</v>
      </c>
      <c r="Y234">
        <v>166.4</v>
      </c>
      <c r="AA234">
        <v>167.9</v>
      </c>
      <c r="AC234">
        <v>182.7</v>
      </c>
      <c r="AE234">
        <v>157.5</v>
      </c>
      <c r="AG234">
        <v>153.9</v>
      </c>
      <c r="AI234">
        <v>156.30000000000001</v>
      </c>
      <c r="AM234">
        <v>165.3</v>
      </c>
      <c r="AO234">
        <v>156</v>
      </c>
      <c r="AQ234">
        <v>159.30000000000001</v>
      </c>
      <c r="AS234">
        <v>162.9</v>
      </c>
      <c r="AU234">
        <v>151.19999999999999</v>
      </c>
      <c r="AW234">
        <v>162</v>
      </c>
      <c r="AY234">
        <v>161.1</v>
      </c>
      <c r="BA234">
        <v>157</v>
      </c>
      <c r="BC234">
        <v>161.80000000000001</v>
      </c>
    </row>
    <row r="235" spans="3:55" x14ac:dyDescent="0.3">
      <c r="C235">
        <v>163.5</v>
      </c>
      <c r="E235">
        <v>198.1</v>
      </c>
      <c r="G235">
        <v>170.6</v>
      </c>
      <c r="I235">
        <v>162.19999999999999</v>
      </c>
      <c r="K235">
        <v>189.5</v>
      </c>
      <c r="M235">
        <v>158.6</v>
      </c>
      <c r="O235">
        <v>173.2</v>
      </c>
      <c r="Q235">
        <v>170.4</v>
      </c>
      <c r="U235">
        <v>170.1</v>
      </c>
      <c r="W235">
        <v>165.3</v>
      </c>
      <c r="Y235">
        <v>166.8</v>
      </c>
      <c r="AA235">
        <v>168.2</v>
      </c>
      <c r="AC235">
        <v>182.9</v>
      </c>
      <c r="AE235">
        <v>157.80000000000001</v>
      </c>
      <c r="AG235">
        <v>154.4</v>
      </c>
      <c r="AI235">
        <v>156.4</v>
      </c>
      <c r="AM235">
        <v>165.5</v>
      </c>
      <c r="AO235">
        <v>156.80000000000001</v>
      </c>
      <c r="AQ235">
        <v>159.5</v>
      </c>
      <c r="AS235">
        <v>163</v>
      </c>
      <c r="AU235">
        <v>151.5</v>
      </c>
      <c r="AW235">
        <v>162.5</v>
      </c>
      <c r="AY235">
        <v>161.80000000000001</v>
      </c>
      <c r="BA235">
        <v>157.19999999999999</v>
      </c>
      <c r="BC235">
        <v>162.1</v>
      </c>
    </row>
    <row r="236" spans="3:55" x14ac:dyDescent="0.3">
      <c r="C236">
        <v>164.7</v>
      </c>
      <c r="E236">
        <v>198.5</v>
      </c>
      <c r="G236">
        <v>170.8</v>
      </c>
      <c r="I236">
        <v>162.6</v>
      </c>
      <c r="K236">
        <v>190.1</v>
      </c>
      <c r="M236">
        <v>159.1</v>
      </c>
      <c r="O236">
        <v>173.7</v>
      </c>
      <c r="Q236">
        <v>170.5</v>
      </c>
      <c r="U236">
        <v>170.5</v>
      </c>
      <c r="W236">
        <v>165.5</v>
      </c>
      <c r="Y236">
        <v>167.2</v>
      </c>
      <c r="AA236">
        <v>168.4</v>
      </c>
      <c r="AC236">
        <v>183.4</v>
      </c>
      <c r="AE236">
        <v>157.9</v>
      </c>
      <c r="AG236">
        <v>154.5</v>
      </c>
      <c r="AI236">
        <v>156.80000000000001</v>
      </c>
      <c r="AM236">
        <v>165.6</v>
      </c>
      <c r="AO236">
        <v>157.4</v>
      </c>
      <c r="AQ236">
        <v>160.4</v>
      </c>
      <c r="AS236">
        <v>163.4</v>
      </c>
      <c r="AU236">
        <v>152.19999999999999</v>
      </c>
      <c r="AW236">
        <v>162.69999999999999</v>
      </c>
      <c r="AY236">
        <v>162.19999999999999</v>
      </c>
      <c r="BA236">
        <v>157.30000000000001</v>
      </c>
      <c r="BC236">
        <v>162.30000000000001</v>
      </c>
    </row>
    <row r="237" spans="3:55" x14ac:dyDescent="0.3">
      <c r="C237">
        <v>164.9</v>
      </c>
      <c r="E237">
        <v>198.7</v>
      </c>
      <c r="G237">
        <v>170.9</v>
      </c>
      <c r="I237">
        <v>163.80000000000001</v>
      </c>
      <c r="K237">
        <v>190.4</v>
      </c>
      <c r="M237">
        <v>159.30000000000001</v>
      </c>
      <c r="O237">
        <v>173.8</v>
      </c>
      <c r="Q237">
        <v>170.7</v>
      </c>
      <c r="U237">
        <v>170.6</v>
      </c>
      <c r="W237">
        <v>165.9</v>
      </c>
      <c r="Y237">
        <v>167.5</v>
      </c>
      <c r="AA237">
        <v>168.6</v>
      </c>
      <c r="AC237">
        <v>183.5</v>
      </c>
      <c r="AE237">
        <v>158.80000000000001</v>
      </c>
      <c r="AG237">
        <v>155.1</v>
      </c>
      <c r="AI237">
        <v>157.30000000000001</v>
      </c>
      <c r="AM237">
        <v>165.7</v>
      </c>
      <c r="AO237">
        <v>157.5</v>
      </c>
      <c r="AQ237">
        <v>160.80000000000001</v>
      </c>
      <c r="AS237">
        <v>163.6</v>
      </c>
      <c r="AU237">
        <v>152.4</v>
      </c>
      <c r="AW237">
        <v>162.9</v>
      </c>
      <c r="AY237">
        <v>162.4</v>
      </c>
      <c r="BA237">
        <v>157.6</v>
      </c>
      <c r="BC237">
        <v>162.5</v>
      </c>
    </row>
    <row r="238" spans="3:55" x14ac:dyDescent="0.3">
      <c r="C238">
        <v>165.2</v>
      </c>
      <c r="E238">
        <v>198.8</v>
      </c>
      <c r="G238">
        <v>171</v>
      </c>
      <c r="I238">
        <v>163.9</v>
      </c>
      <c r="K238">
        <v>190.6</v>
      </c>
      <c r="M238">
        <v>159.5</v>
      </c>
      <c r="O238">
        <v>174.3</v>
      </c>
      <c r="Q238">
        <v>170.8</v>
      </c>
      <c r="U238">
        <v>170.8</v>
      </c>
      <c r="W238">
        <v>166.2</v>
      </c>
      <c r="Y238">
        <v>168.2</v>
      </c>
      <c r="AA238">
        <v>169.7</v>
      </c>
      <c r="AC238">
        <v>183.6</v>
      </c>
      <c r="AE238">
        <v>159.1</v>
      </c>
      <c r="AG238">
        <v>155.30000000000001</v>
      </c>
      <c r="AI238">
        <v>157.4</v>
      </c>
      <c r="AM238">
        <v>165.8</v>
      </c>
      <c r="AO238">
        <v>158.4</v>
      </c>
      <c r="AQ238">
        <v>161.30000000000001</v>
      </c>
      <c r="AS238">
        <v>164.2</v>
      </c>
      <c r="AU238">
        <v>152.6</v>
      </c>
      <c r="AW238">
        <v>163.19999999999999</v>
      </c>
      <c r="AY238">
        <v>162.6</v>
      </c>
      <c r="BA238">
        <v>157.80000000000001</v>
      </c>
      <c r="BC238">
        <v>163.19999999999999</v>
      </c>
    </row>
    <row r="239" spans="3:55" x14ac:dyDescent="0.3">
      <c r="C239">
        <v>166.4</v>
      </c>
      <c r="E239">
        <v>199.8</v>
      </c>
      <c r="G239">
        <v>171.2</v>
      </c>
      <c r="I239">
        <v>164.2</v>
      </c>
      <c r="K239">
        <v>190.9</v>
      </c>
      <c r="M239">
        <v>159.6</v>
      </c>
      <c r="O239">
        <v>174.9</v>
      </c>
      <c r="Q239">
        <v>170.9</v>
      </c>
      <c r="U239">
        <v>171.7</v>
      </c>
      <c r="W239">
        <v>167.1</v>
      </c>
      <c r="Y239">
        <v>168.9</v>
      </c>
      <c r="AA239">
        <v>170.2</v>
      </c>
      <c r="AC239">
        <v>184.3</v>
      </c>
      <c r="AE239">
        <v>159.6</v>
      </c>
      <c r="AG239">
        <v>155.9</v>
      </c>
      <c r="AI239">
        <v>158.30000000000001</v>
      </c>
      <c r="AM239">
        <v>167.2</v>
      </c>
      <c r="AO239">
        <v>158.6</v>
      </c>
      <c r="AQ239">
        <v>161.5</v>
      </c>
      <c r="AS239">
        <v>164.5</v>
      </c>
      <c r="AU239">
        <v>152.80000000000001</v>
      </c>
      <c r="AW239">
        <v>163.5</v>
      </c>
      <c r="AY239">
        <v>162.80000000000001</v>
      </c>
      <c r="BA239">
        <v>158</v>
      </c>
      <c r="BC239">
        <v>163.6</v>
      </c>
    </row>
    <row r="240" spans="3:55" x14ac:dyDescent="0.3">
      <c r="C240">
        <v>166.9</v>
      </c>
      <c r="E240">
        <v>200.1</v>
      </c>
      <c r="G240">
        <v>171.5</v>
      </c>
      <c r="I240">
        <v>164.6</v>
      </c>
      <c r="K240">
        <v>191.6</v>
      </c>
      <c r="M240">
        <v>160.30000000000001</v>
      </c>
      <c r="O240">
        <v>175.1</v>
      </c>
      <c r="Q240">
        <v>171</v>
      </c>
      <c r="U240">
        <v>172.1</v>
      </c>
      <c r="W240">
        <v>167.6</v>
      </c>
      <c r="Y240">
        <v>169.4</v>
      </c>
      <c r="AA240">
        <v>170.3</v>
      </c>
      <c r="AC240">
        <v>184.4</v>
      </c>
      <c r="AE240">
        <v>159.80000000000001</v>
      </c>
      <c r="AG240">
        <v>156.30000000000001</v>
      </c>
      <c r="AI240">
        <v>158.4</v>
      </c>
      <c r="AM240">
        <v>167.4</v>
      </c>
      <c r="AO240">
        <v>158.80000000000001</v>
      </c>
      <c r="AQ240">
        <v>161.6</v>
      </c>
      <c r="AS240">
        <v>164.8</v>
      </c>
      <c r="AU240">
        <v>153.19999999999999</v>
      </c>
      <c r="AW240">
        <v>163.6</v>
      </c>
      <c r="AY240">
        <v>163</v>
      </c>
      <c r="BA240">
        <v>158.6</v>
      </c>
      <c r="BC240">
        <v>164</v>
      </c>
    </row>
    <row r="241" spans="3:55" x14ac:dyDescent="0.3">
      <c r="C241">
        <v>167.4</v>
      </c>
      <c r="E241">
        <v>200.5</v>
      </c>
      <c r="G241">
        <v>171.6</v>
      </c>
      <c r="I241">
        <v>164.9</v>
      </c>
      <c r="K241">
        <v>192.4</v>
      </c>
      <c r="M241">
        <v>160.5</v>
      </c>
      <c r="O241">
        <v>175.3</v>
      </c>
      <c r="Q241">
        <v>171.1</v>
      </c>
      <c r="U241">
        <v>172.2</v>
      </c>
      <c r="W241">
        <v>167.9</v>
      </c>
      <c r="Y241">
        <v>169.8</v>
      </c>
      <c r="AA241">
        <v>170.8</v>
      </c>
      <c r="AC241">
        <v>184.6</v>
      </c>
      <c r="AE241">
        <v>160.69999999999999</v>
      </c>
      <c r="AG241">
        <v>157.4</v>
      </c>
      <c r="AI241">
        <v>158.9</v>
      </c>
      <c r="AM241">
        <v>168.9</v>
      </c>
      <c r="AO241">
        <v>159.19999999999999</v>
      </c>
      <c r="AQ241">
        <v>161.69999999999999</v>
      </c>
      <c r="AS241">
        <v>165.5</v>
      </c>
      <c r="AU241">
        <v>153.6</v>
      </c>
      <c r="AW241">
        <v>163.69999999999999</v>
      </c>
      <c r="AY241">
        <v>163.19999999999999</v>
      </c>
      <c r="BA241">
        <v>159</v>
      </c>
      <c r="BC241">
        <v>164.6</v>
      </c>
    </row>
    <row r="242" spans="3:55" x14ac:dyDescent="0.3">
      <c r="C242">
        <v>168.4</v>
      </c>
      <c r="E242">
        <v>200.6</v>
      </c>
      <c r="G242">
        <v>171.9</v>
      </c>
      <c r="I242">
        <v>165.4</v>
      </c>
      <c r="K242">
        <v>192.6</v>
      </c>
      <c r="M242">
        <v>160.6</v>
      </c>
      <c r="O242">
        <v>175.8</v>
      </c>
      <c r="Q242">
        <v>171.2</v>
      </c>
      <c r="U242">
        <v>173.3</v>
      </c>
      <c r="W242">
        <v>168.3</v>
      </c>
      <c r="Y242">
        <v>170.3</v>
      </c>
      <c r="AA242">
        <v>171.5</v>
      </c>
      <c r="AC242">
        <v>184.8</v>
      </c>
      <c r="AE242">
        <v>160.80000000000001</v>
      </c>
      <c r="AG242">
        <v>158.69999999999999</v>
      </c>
      <c r="AI242">
        <v>159.69999999999999</v>
      </c>
      <c r="AM242">
        <v>170.5</v>
      </c>
      <c r="AO242">
        <v>159.30000000000001</v>
      </c>
      <c r="AQ242">
        <v>162.30000000000001</v>
      </c>
      <c r="AS242">
        <v>166.2</v>
      </c>
      <c r="AU242">
        <v>153.69999999999999</v>
      </c>
      <c r="AW242">
        <v>163.80000000000001</v>
      </c>
      <c r="AY242">
        <v>164.2</v>
      </c>
      <c r="BA242">
        <v>159.4</v>
      </c>
      <c r="BC242">
        <v>165</v>
      </c>
    </row>
    <row r="243" spans="3:55" x14ac:dyDescent="0.3">
      <c r="C243">
        <v>168.8</v>
      </c>
      <c r="E243">
        <v>201.6</v>
      </c>
      <c r="G243">
        <v>172</v>
      </c>
      <c r="I243">
        <v>165.8</v>
      </c>
      <c r="K243">
        <v>193.9</v>
      </c>
      <c r="M243">
        <v>160.69999999999999</v>
      </c>
      <c r="O243">
        <v>175.9</v>
      </c>
      <c r="Q243">
        <v>171.3</v>
      </c>
      <c r="U243">
        <v>174.3</v>
      </c>
      <c r="W243">
        <v>168.4</v>
      </c>
      <c r="Y243">
        <v>170.4</v>
      </c>
      <c r="AA243">
        <v>172.2</v>
      </c>
      <c r="AC243">
        <v>185.4</v>
      </c>
      <c r="AE243">
        <v>161.80000000000001</v>
      </c>
      <c r="AG243">
        <v>159.9</v>
      </c>
      <c r="AI243">
        <v>159.9</v>
      </c>
      <c r="AM243">
        <v>172.2</v>
      </c>
      <c r="AO243">
        <v>159.80000000000001</v>
      </c>
      <c r="AQ243">
        <v>162.5</v>
      </c>
      <c r="AS243">
        <v>166.3</v>
      </c>
      <c r="AU243">
        <v>153.9</v>
      </c>
      <c r="AW243">
        <v>163.9</v>
      </c>
      <c r="AY243">
        <v>164.4</v>
      </c>
      <c r="BA243">
        <v>160</v>
      </c>
      <c r="BC243">
        <v>165.2</v>
      </c>
    </row>
    <row r="244" spans="3:55" x14ac:dyDescent="0.3">
      <c r="C244">
        <v>169.2</v>
      </c>
      <c r="E244">
        <v>202</v>
      </c>
      <c r="G244">
        <v>172.4</v>
      </c>
      <c r="I244">
        <v>166.3</v>
      </c>
      <c r="K244">
        <v>194</v>
      </c>
      <c r="M244">
        <v>161.19999999999999</v>
      </c>
      <c r="O244">
        <v>176.2</v>
      </c>
      <c r="Q244">
        <v>171.5</v>
      </c>
      <c r="U244">
        <v>174.7</v>
      </c>
      <c r="W244">
        <v>168.8</v>
      </c>
      <c r="Y244">
        <v>171</v>
      </c>
      <c r="AA244">
        <v>172.4</v>
      </c>
      <c r="AC244">
        <v>186.1</v>
      </c>
      <c r="AE244">
        <v>162.19999999999999</v>
      </c>
      <c r="AG244">
        <v>160</v>
      </c>
      <c r="AI244">
        <v>160.4</v>
      </c>
      <c r="AM244">
        <v>173.3</v>
      </c>
      <c r="AO244">
        <v>160.19999999999999</v>
      </c>
      <c r="AQ244">
        <v>162.80000000000001</v>
      </c>
      <c r="AS244">
        <v>166.6</v>
      </c>
      <c r="AU244">
        <v>154.9</v>
      </c>
      <c r="AW244">
        <v>164</v>
      </c>
      <c r="AY244">
        <v>164.5</v>
      </c>
      <c r="BA244">
        <v>160.6</v>
      </c>
      <c r="BC244">
        <v>165.5</v>
      </c>
    </row>
    <row r="245" spans="3:55" x14ac:dyDescent="0.3">
      <c r="C245">
        <v>170.2</v>
      </c>
      <c r="E245">
        <v>202.1</v>
      </c>
      <c r="G245">
        <v>172.8</v>
      </c>
      <c r="I245">
        <v>166.4</v>
      </c>
      <c r="K245">
        <v>194.1</v>
      </c>
      <c r="M245">
        <v>161.30000000000001</v>
      </c>
      <c r="O245">
        <v>176.9</v>
      </c>
      <c r="Q245">
        <v>171.7</v>
      </c>
      <c r="U245">
        <v>175.4</v>
      </c>
      <c r="W245">
        <v>169.1</v>
      </c>
      <c r="Y245">
        <v>171.1</v>
      </c>
      <c r="AA245">
        <v>172.5</v>
      </c>
      <c r="AC245">
        <v>186.5</v>
      </c>
      <c r="AE245">
        <v>162.30000000000001</v>
      </c>
      <c r="AG245">
        <v>160.6</v>
      </c>
      <c r="AI245">
        <v>160.69999999999999</v>
      </c>
      <c r="AM245">
        <v>173.5</v>
      </c>
      <c r="AO245">
        <v>160.30000000000001</v>
      </c>
      <c r="AQ245">
        <v>163.5</v>
      </c>
      <c r="AS245">
        <v>166.9</v>
      </c>
      <c r="AU245">
        <v>155.1</v>
      </c>
      <c r="AW245">
        <v>164.1</v>
      </c>
      <c r="AY245">
        <v>166.8</v>
      </c>
      <c r="BA245">
        <v>161</v>
      </c>
      <c r="BC245">
        <v>165.6</v>
      </c>
    </row>
    <row r="246" spans="3:55" x14ac:dyDescent="0.3">
      <c r="C246">
        <v>173.2</v>
      </c>
      <c r="E246">
        <v>202.2</v>
      </c>
      <c r="G246">
        <v>173</v>
      </c>
      <c r="I246">
        <v>166.6</v>
      </c>
      <c r="K246">
        <v>194.6</v>
      </c>
      <c r="M246">
        <v>162.19999999999999</v>
      </c>
      <c r="O246">
        <v>177</v>
      </c>
      <c r="Q246">
        <v>171.8</v>
      </c>
      <c r="U246">
        <v>177.4</v>
      </c>
      <c r="W246">
        <v>169.4</v>
      </c>
      <c r="Y246">
        <v>171.4</v>
      </c>
      <c r="AA246">
        <v>173.3</v>
      </c>
      <c r="AC246">
        <v>186.7</v>
      </c>
      <c r="AE246">
        <v>162.80000000000001</v>
      </c>
      <c r="AG246">
        <v>160.69999999999999</v>
      </c>
      <c r="AI246">
        <v>161.4</v>
      </c>
      <c r="AM246">
        <v>174.6</v>
      </c>
      <c r="AO246">
        <v>160.9</v>
      </c>
      <c r="AQ246">
        <v>164.2</v>
      </c>
      <c r="AS246">
        <v>167.1</v>
      </c>
      <c r="AU246">
        <v>155.30000000000001</v>
      </c>
      <c r="AW246">
        <v>164.3</v>
      </c>
      <c r="AY246">
        <v>167.2</v>
      </c>
      <c r="BA246">
        <v>161.1</v>
      </c>
      <c r="BC246">
        <v>165.7</v>
      </c>
    </row>
    <row r="247" spans="3:55" x14ac:dyDescent="0.3">
      <c r="C247">
        <v>173.3</v>
      </c>
      <c r="E247">
        <v>202.3</v>
      </c>
      <c r="G247">
        <v>173.2</v>
      </c>
      <c r="I247">
        <v>167.1</v>
      </c>
      <c r="K247">
        <v>195.5</v>
      </c>
      <c r="M247">
        <v>162.30000000000001</v>
      </c>
      <c r="O247">
        <v>178.1</v>
      </c>
      <c r="Q247">
        <v>172.1</v>
      </c>
      <c r="U247">
        <v>178</v>
      </c>
      <c r="W247">
        <v>169.7</v>
      </c>
      <c r="Y247">
        <v>171.7</v>
      </c>
      <c r="AA247">
        <v>173.5</v>
      </c>
      <c r="AC247">
        <v>186.8</v>
      </c>
      <c r="AE247">
        <v>163.30000000000001</v>
      </c>
      <c r="AG247">
        <v>161.1</v>
      </c>
      <c r="AI247">
        <v>162.19999999999999</v>
      </c>
      <c r="AM247">
        <v>174.9</v>
      </c>
      <c r="AO247">
        <v>161.1</v>
      </c>
      <c r="AQ247">
        <v>164.3</v>
      </c>
      <c r="AS247">
        <v>167.4</v>
      </c>
      <c r="AU247">
        <v>155.80000000000001</v>
      </c>
      <c r="AW247">
        <v>164.4</v>
      </c>
      <c r="AY247">
        <v>167.4</v>
      </c>
      <c r="BA247">
        <v>161.4</v>
      </c>
      <c r="BC247">
        <v>166.1</v>
      </c>
    </row>
    <row r="248" spans="3:55" x14ac:dyDescent="0.3">
      <c r="C248">
        <v>173.7</v>
      </c>
      <c r="E248">
        <v>202.5</v>
      </c>
      <c r="G248">
        <v>173.4</v>
      </c>
      <c r="I248">
        <v>167.9</v>
      </c>
      <c r="K248">
        <v>195.8</v>
      </c>
      <c r="M248">
        <v>162.6</v>
      </c>
      <c r="O248">
        <v>178.7</v>
      </c>
      <c r="Q248">
        <v>172.2</v>
      </c>
      <c r="U248">
        <v>178.7</v>
      </c>
      <c r="W248">
        <v>169.8</v>
      </c>
      <c r="Y248">
        <v>171.9</v>
      </c>
      <c r="AA248">
        <v>173.9</v>
      </c>
      <c r="AC248">
        <v>187.2</v>
      </c>
      <c r="AE248">
        <v>164.5</v>
      </c>
      <c r="AG248">
        <v>161.69999999999999</v>
      </c>
      <c r="AI248">
        <v>163.19999999999999</v>
      </c>
      <c r="AM248">
        <v>175.3</v>
      </c>
      <c r="AO248">
        <v>161.30000000000001</v>
      </c>
      <c r="AQ248">
        <v>164.6</v>
      </c>
      <c r="AS248">
        <v>167.5</v>
      </c>
      <c r="AU248">
        <v>156.69999999999999</v>
      </c>
      <c r="AW248">
        <v>164.7</v>
      </c>
      <c r="AY248">
        <v>168.2</v>
      </c>
      <c r="BA248">
        <v>161.5</v>
      </c>
      <c r="BC248">
        <v>166.2</v>
      </c>
    </row>
    <row r="249" spans="3:55" x14ac:dyDescent="0.3">
      <c r="C249">
        <v>173.8</v>
      </c>
      <c r="E249">
        <v>204</v>
      </c>
      <c r="G249">
        <v>173.6</v>
      </c>
      <c r="I249">
        <v>168.1</v>
      </c>
      <c r="K249">
        <v>198.1</v>
      </c>
      <c r="M249">
        <v>163.80000000000001</v>
      </c>
      <c r="O249">
        <v>178.8</v>
      </c>
      <c r="Q249">
        <v>172.8</v>
      </c>
      <c r="U249">
        <v>181.3</v>
      </c>
      <c r="W249">
        <v>169.9</v>
      </c>
      <c r="Y249">
        <v>172.2</v>
      </c>
      <c r="AA249">
        <v>174.4</v>
      </c>
      <c r="AC249">
        <v>188.1</v>
      </c>
      <c r="AE249">
        <v>164.6</v>
      </c>
      <c r="AG249">
        <v>162.4</v>
      </c>
      <c r="AI249">
        <v>163.30000000000001</v>
      </c>
      <c r="AM249">
        <v>176</v>
      </c>
      <c r="AO249">
        <v>161.80000000000001</v>
      </c>
      <c r="AQ249">
        <v>165.1</v>
      </c>
      <c r="AS249">
        <v>167.8</v>
      </c>
      <c r="AU249">
        <v>157</v>
      </c>
      <c r="AW249">
        <v>165.2</v>
      </c>
      <c r="AY249">
        <v>168.4</v>
      </c>
      <c r="BA249">
        <v>162</v>
      </c>
      <c r="BC249">
        <v>166.3</v>
      </c>
    </row>
    <row r="250" spans="3:55" x14ac:dyDescent="0.3">
      <c r="C250">
        <v>174</v>
      </c>
      <c r="E250">
        <v>204.1</v>
      </c>
      <c r="G250">
        <v>173.9</v>
      </c>
      <c r="I250">
        <v>168.4</v>
      </c>
      <c r="K250">
        <v>198.4</v>
      </c>
      <c r="M250">
        <v>163.9</v>
      </c>
      <c r="O250">
        <v>179.5</v>
      </c>
      <c r="Q250">
        <v>173.4</v>
      </c>
      <c r="U250">
        <v>181.4</v>
      </c>
      <c r="W250">
        <v>170.4</v>
      </c>
      <c r="Y250">
        <v>172.4</v>
      </c>
      <c r="AA250">
        <v>174.5</v>
      </c>
      <c r="AC250">
        <v>188.3</v>
      </c>
      <c r="AE250">
        <v>164.7</v>
      </c>
      <c r="AG250">
        <v>162.6</v>
      </c>
      <c r="AI250">
        <v>163.4</v>
      </c>
      <c r="AM250">
        <v>176.7</v>
      </c>
      <c r="AO250">
        <v>162</v>
      </c>
      <c r="AQ250">
        <v>165.3</v>
      </c>
      <c r="AS250">
        <v>168.2</v>
      </c>
      <c r="AU250">
        <v>157.6</v>
      </c>
      <c r="AW250">
        <v>165.4</v>
      </c>
      <c r="AY250">
        <v>168.5</v>
      </c>
      <c r="BA250">
        <v>162.69999999999999</v>
      </c>
      <c r="BC250">
        <v>166.4</v>
      </c>
    </row>
    <row r="251" spans="3:55" x14ac:dyDescent="0.3">
      <c r="C251">
        <v>174.2</v>
      </c>
      <c r="E251">
        <v>204.3</v>
      </c>
      <c r="G251">
        <v>174.1</v>
      </c>
      <c r="I251">
        <v>169.5</v>
      </c>
      <c r="K251">
        <v>198.8</v>
      </c>
      <c r="M251">
        <v>164.1</v>
      </c>
      <c r="O251">
        <v>179.8</v>
      </c>
      <c r="Q251">
        <v>173.6</v>
      </c>
      <c r="U251">
        <v>182.9</v>
      </c>
      <c r="W251">
        <v>170.5</v>
      </c>
      <c r="Y251">
        <v>172.8</v>
      </c>
      <c r="AA251">
        <v>174.8</v>
      </c>
      <c r="AC251">
        <v>188.7</v>
      </c>
      <c r="AE251">
        <v>165.3</v>
      </c>
      <c r="AG251">
        <v>163.5</v>
      </c>
      <c r="AI251">
        <v>164.3</v>
      </c>
      <c r="AM251">
        <v>178.4</v>
      </c>
      <c r="AO251">
        <v>162.1</v>
      </c>
      <c r="AQ251">
        <v>165.8</v>
      </c>
      <c r="AS251">
        <v>169</v>
      </c>
      <c r="AU251">
        <v>157.69999999999999</v>
      </c>
      <c r="AW251">
        <v>166</v>
      </c>
      <c r="AY251">
        <v>168.8</v>
      </c>
      <c r="BA251">
        <v>162.80000000000001</v>
      </c>
      <c r="BC251">
        <v>166.5</v>
      </c>
    </row>
    <row r="252" spans="3:55" x14ac:dyDescent="0.3">
      <c r="C252">
        <v>174.3</v>
      </c>
      <c r="E252">
        <v>204.5</v>
      </c>
      <c r="G252">
        <v>174.3</v>
      </c>
      <c r="I252">
        <v>169.7</v>
      </c>
      <c r="K252">
        <v>199.5</v>
      </c>
      <c r="M252">
        <v>164.4</v>
      </c>
      <c r="O252">
        <v>179.9</v>
      </c>
      <c r="Q252">
        <v>174.3</v>
      </c>
      <c r="U252">
        <v>183.5</v>
      </c>
      <c r="W252">
        <v>171</v>
      </c>
      <c r="Y252">
        <v>173.3</v>
      </c>
      <c r="AA252">
        <v>174.9</v>
      </c>
      <c r="AC252">
        <v>188.8</v>
      </c>
      <c r="AE252">
        <v>165.7</v>
      </c>
      <c r="AG252">
        <v>163.6</v>
      </c>
      <c r="AI252">
        <v>164.5</v>
      </c>
      <c r="AM252">
        <v>178.8</v>
      </c>
      <c r="AO252">
        <v>162.80000000000001</v>
      </c>
      <c r="AQ252">
        <v>166.1</v>
      </c>
      <c r="AS252">
        <v>169.4</v>
      </c>
      <c r="AU252">
        <v>157.80000000000001</v>
      </c>
      <c r="AW252">
        <v>166.5</v>
      </c>
      <c r="AY252">
        <v>169</v>
      </c>
      <c r="BA252">
        <v>163.1</v>
      </c>
      <c r="BC252">
        <v>166.7</v>
      </c>
    </row>
    <row r="253" spans="3:55" x14ac:dyDescent="0.3">
      <c r="C253">
        <v>174.4</v>
      </c>
      <c r="E253">
        <v>204.6</v>
      </c>
      <c r="G253">
        <v>175.2</v>
      </c>
      <c r="I253">
        <v>170.1</v>
      </c>
      <c r="K253">
        <v>200.9</v>
      </c>
      <c r="M253">
        <v>164.6</v>
      </c>
      <c r="O253">
        <v>180</v>
      </c>
      <c r="Q253">
        <v>174.7</v>
      </c>
      <c r="U253">
        <v>184.9</v>
      </c>
      <c r="W253">
        <v>171.2</v>
      </c>
      <c r="Y253">
        <v>173.5</v>
      </c>
      <c r="AA253">
        <v>175</v>
      </c>
      <c r="AC253">
        <v>189.1</v>
      </c>
      <c r="AE253">
        <v>166</v>
      </c>
      <c r="AG253">
        <v>164.5</v>
      </c>
      <c r="AI253">
        <v>164.6</v>
      </c>
      <c r="AM253">
        <v>179.1</v>
      </c>
      <c r="AO253">
        <v>162.9</v>
      </c>
      <c r="AQ253">
        <v>166.3</v>
      </c>
      <c r="AS253">
        <v>169.7</v>
      </c>
      <c r="AU253">
        <v>158.4</v>
      </c>
      <c r="AW253">
        <v>166.8</v>
      </c>
      <c r="AY253">
        <v>169.2</v>
      </c>
      <c r="BA253">
        <v>163.30000000000001</v>
      </c>
      <c r="BC253">
        <v>167</v>
      </c>
    </row>
    <row r="254" spans="3:55" x14ac:dyDescent="0.3">
      <c r="C254">
        <v>174.7</v>
      </c>
      <c r="E254">
        <v>204.9</v>
      </c>
      <c r="G254">
        <v>175.3</v>
      </c>
      <c r="I254">
        <v>170.9</v>
      </c>
      <c r="K254">
        <v>202.2</v>
      </c>
      <c r="M254">
        <v>165.7</v>
      </c>
      <c r="O254">
        <v>180.1</v>
      </c>
      <c r="Q254">
        <v>174.9</v>
      </c>
      <c r="U254">
        <v>186.3</v>
      </c>
      <c r="W254">
        <v>171.4</v>
      </c>
      <c r="Y254">
        <v>173.6</v>
      </c>
      <c r="AA254">
        <v>175.5</v>
      </c>
      <c r="AC254">
        <v>189.6</v>
      </c>
      <c r="AE254">
        <v>167</v>
      </c>
      <c r="AG254">
        <v>164.6</v>
      </c>
      <c r="AI254">
        <v>164.9</v>
      </c>
      <c r="AM254">
        <v>179.2</v>
      </c>
      <c r="AO254">
        <v>163.1</v>
      </c>
      <c r="AQ254">
        <v>167</v>
      </c>
      <c r="AS254" t="s">
        <v>32</v>
      </c>
      <c r="AU254">
        <v>158.6</v>
      </c>
      <c r="AW254">
        <v>166.9</v>
      </c>
      <c r="AY254">
        <v>169.4</v>
      </c>
      <c r="BA254">
        <v>163.5</v>
      </c>
      <c r="BC254">
        <v>167.6</v>
      </c>
    </row>
    <row r="255" spans="3:55" x14ac:dyDescent="0.3">
      <c r="C255">
        <v>174.8</v>
      </c>
      <c r="E255">
        <v>205.2</v>
      </c>
      <c r="G255">
        <v>175.4</v>
      </c>
      <c r="I255">
        <v>171</v>
      </c>
      <c r="K255">
        <v>202.4</v>
      </c>
      <c r="M255">
        <v>165.8</v>
      </c>
      <c r="O255">
        <v>180.2</v>
      </c>
      <c r="Q255">
        <v>175.6</v>
      </c>
      <c r="U255">
        <v>186.6</v>
      </c>
      <c r="W255">
        <v>172.3</v>
      </c>
      <c r="Y255">
        <v>173.9</v>
      </c>
      <c r="AA255">
        <v>175.9</v>
      </c>
      <c r="AC255">
        <v>189.7</v>
      </c>
      <c r="AE255">
        <v>167.1</v>
      </c>
      <c r="AG255">
        <v>164.8</v>
      </c>
      <c r="AI255">
        <v>165.3</v>
      </c>
      <c r="AM255">
        <v>179.5</v>
      </c>
      <c r="AO255">
        <v>163.9</v>
      </c>
      <c r="AQ255">
        <v>167.2</v>
      </c>
      <c r="AS255" t="s">
        <v>51</v>
      </c>
      <c r="AU255">
        <v>159.5</v>
      </c>
      <c r="AW255">
        <v>167.2</v>
      </c>
      <c r="AY255">
        <v>169.5</v>
      </c>
      <c r="BA255">
        <v>163.80000000000001</v>
      </c>
      <c r="BC255">
        <v>167.7</v>
      </c>
    </row>
    <row r="256" spans="3:55" x14ac:dyDescent="0.3">
      <c r="C256" t="s">
        <v>32</v>
      </c>
      <c r="E256">
        <v>205.5</v>
      </c>
      <c r="G256">
        <v>175.5</v>
      </c>
      <c r="I256">
        <v>172.3</v>
      </c>
      <c r="K256">
        <v>203.1</v>
      </c>
      <c r="M256">
        <v>167.1</v>
      </c>
      <c r="O256">
        <v>181.7</v>
      </c>
      <c r="Q256">
        <v>175.7</v>
      </c>
      <c r="U256">
        <v>187.1</v>
      </c>
      <c r="W256">
        <v>172.4</v>
      </c>
      <c r="Y256">
        <v>174.3</v>
      </c>
      <c r="AA256">
        <v>176.3</v>
      </c>
      <c r="AC256">
        <v>190.2</v>
      </c>
      <c r="AE256">
        <v>167.2</v>
      </c>
      <c r="AG256">
        <v>165.3</v>
      </c>
      <c r="AI256">
        <v>165.8</v>
      </c>
      <c r="AM256">
        <v>179.6</v>
      </c>
      <c r="AO256">
        <v>164</v>
      </c>
      <c r="AQ256">
        <v>168.2</v>
      </c>
      <c r="AU256">
        <v>159.80000000000001</v>
      </c>
      <c r="AW256">
        <v>167.5</v>
      </c>
      <c r="AY256">
        <v>169.7</v>
      </c>
      <c r="BA256">
        <v>164.6</v>
      </c>
      <c r="BC256">
        <v>168.7</v>
      </c>
    </row>
    <row r="257" spans="3:55" x14ac:dyDescent="0.3">
      <c r="C257" t="s">
        <v>51</v>
      </c>
      <c r="E257">
        <v>206.5</v>
      </c>
      <c r="G257">
        <v>175.8</v>
      </c>
      <c r="I257">
        <v>173.4</v>
      </c>
      <c r="K257">
        <v>207.4</v>
      </c>
      <c r="M257">
        <v>167.2</v>
      </c>
      <c r="O257">
        <v>181.9</v>
      </c>
      <c r="Q257">
        <v>176.4</v>
      </c>
      <c r="U257">
        <v>188.9</v>
      </c>
      <c r="W257">
        <v>172.9</v>
      </c>
      <c r="Y257">
        <v>174.7</v>
      </c>
      <c r="AA257">
        <v>176.6</v>
      </c>
      <c r="AC257">
        <v>190.5</v>
      </c>
      <c r="AE257">
        <v>167.7</v>
      </c>
      <c r="AG257">
        <v>166</v>
      </c>
      <c r="AI257">
        <v>166.3</v>
      </c>
      <c r="AM257">
        <v>179.7</v>
      </c>
      <c r="AO257">
        <v>164.2</v>
      </c>
      <c r="AQ257">
        <v>168.4</v>
      </c>
      <c r="AU257">
        <v>160</v>
      </c>
      <c r="AW257">
        <v>167.6</v>
      </c>
      <c r="AY257">
        <v>169.8</v>
      </c>
      <c r="BA257">
        <v>164.7</v>
      </c>
      <c r="BC257">
        <v>169.2</v>
      </c>
    </row>
    <row r="258" spans="3:55" x14ac:dyDescent="0.3">
      <c r="E258">
        <v>206.7</v>
      </c>
      <c r="G258">
        <v>176.4</v>
      </c>
      <c r="I258">
        <v>173.6</v>
      </c>
      <c r="K258">
        <v>208.1</v>
      </c>
      <c r="M258">
        <v>167.5</v>
      </c>
      <c r="O258">
        <v>182.1</v>
      </c>
      <c r="Q258">
        <v>176.9</v>
      </c>
      <c r="U258">
        <v>189.7</v>
      </c>
      <c r="W258">
        <v>173.2</v>
      </c>
      <c r="Y258">
        <v>175.1</v>
      </c>
      <c r="AA258">
        <v>176.7</v>
      </c>
      <c r="AC258">
        <v>190.7</v>
      </c>
      <c r="AE258">
        <v>168.4</v>
      </c>
      <c r="AG258">
        <v>166.5</v>
      </c>
      <c r="AI258">
        <v>167</v>
      </c>
      <c r="AM258">
        <v>180</v>
      </c>
      <c r="AO258">
        <v>164.9</v>
      </c>
      <c r="AQ258">
        <v>169</v>
      </c>
      <c r="AU258">
        <v>160.4</v>
      </c>
      <c r="AW258">
        <v>167.9</v>
      </c>
      <c r="AY258">
        <v>170.8</v>
      </c>
      <c r="BA258">
        <v>165.2</v>
      </c>
      <c r="BC258">
        <v>170.1</v>
      </c>
    </row>
    <row r="259" spans="3:55" x14ac:dyDescent="0.3">
      <c r="E259">
        <v>206.8</v>
      </c>
      <c r="G259">
        <v>176.5</v>
      </c>
      <c r="I259">
        <v>173.9</v>
      </c>
      <c r="K259">
        <v>209.9</v>
      </c>
      <c r="M259">
        <v>168</v>
      </c>
      <c r="O259">
        <v>182.3</v>
      </c>
      <c r="Q259">
        <v>177.4</v>
      </c>
      <c r="U259">
        <v>190</v>
      </c>
      <c r="W259">
        <v>173.4</v>
      </c>
      <c r="Y259">
        <v>175.5</v>
      </c>
      <c r="AA259">
        <v>176.8</v>
      </c>
      <c r="AC259">
        <v>190.8</v>
      </c>
      <c r="AE259">
        <v>168.5</v>
      </c>
      <c r="AG259">
        <v>167</v>
      </c>
      <c r="AI259">
        <v>167.1</v>
      </c>
      <c r="AM259">
        <v>180.1</v>
      </c>
      <c r="AO259">
        <v>165</v>
      </c>
      <c r="AQ259">
        <v>169.1</v>
      </c>
      <c r="AU259">
        <v>160.6</v>
      </c>
      <c r="AW259">
        <v>168.5</v>
      </c>
      <c r="AY259">
        <v>170.9</v>
      </c>
      <c r="BA259">
        <v>165.4</v>
      </c>
      <c r="BC259">
        <v>170.8</v>
      </c>
    </row>
    <row r="260" spans="3:55" x14ac:dyDescent="0.3">
      <c r="E260">
        <v>206.9</v>
      </c>
      <c r="G260">
        <v>176.6</v>
      </c>
      <c r="I260">
        <v>174.3</v>
      </c>
      <c r="K260" t="s">
        <v>32</v>
      </c>
      <c r="M260">
        <v>168.8</v>
      </c>
      <c r="O260">
        <v>183.1</v>
      </c>
      <c r="Q260">
        <v>182.3</v>
      </c>
      <c r="U260">
        <v>191.8</v>
      </c>
      <c r="W260">
        <v>174.2</v>
      </c>
      <c r="Y260">
        <v>175.8</v>
      </c>
      <c r="AA260">
        <v>177</v>
      </c>
      <c r="AC260">
        <v>191.2</v>
      </c>
      <c r="AE260">
        <v>168.9</v>
      </c>
      <c r="AG260">
        <v>167.3</v>
      </c>
      <c r="AI260">
        <v>167.8</v>
      </c>
      <c r="AM260">
        <v>180.3</v>
      </c>
      <c r="AO260">
        <v>165.2</v>
      </c>
      <c r="AQ260">
        <v>169.7</v>
      </c>
      <c r="AU260">
        <v>160.69999999999999</v>
      </c>
      <c r="AW260">
        <v>169</v>
      </c>
      <c r="AY260">
        <v>171.1</v>
      </c>
      <c r="BA260">
        <v>166</v>
      </c>
      <c r="BC260">
        <v>171.4</v>
      </c>
    </row>
    <row r="261" spans="3:55" x14ac:dyDescent="0.3">
      <c r="E261">
        <v>207.2</v>
      </c>
      <c r="G261">
        <v>176.7</v>
      </c>
      <c r="I261">
        <v>174.6</v>
      </c>
      <c r="K261" t="s">
        <v>51</v>
      </c>
      <c r="M261">
        <v>169</v>
      </c>
      <c r="O261">
        <v>183.3</v>
      </c>
      <c r="Q261">
        <v>182.8</v>
      </c>
      <c r="U261">
        <v>193.6</v>
      </c>
      <c r="W261">
        <v>174.5</v>
      </c>
      <c r="Y261">
        <v>175.9</v>
      </c>
      <c r="AA261">
        <v>177.4</v>
      </c>
      <c r="AC261">
        <v>191.4</v>
      </c>
      <c r="AE261">
        <v>169.9</v>
      </c>
      <c r="AG261">
        <v>167.7</v>
      </c>
      <c r="AI261">
        <v>168.3</v>
      </c>
      <c r="AM261">
        <v>180.5</v>
      </c>
      <c r="AO261">
        <v>165.7</v>
      </c>
      <c r="AQ261">
        <v>169.9</v>
      </c>
      <c r="AU261">
        <v>160.80000000000001</v>
      </c>
      <c r="AW261">
        <v>169.1</v>
      </c>
      <c r="AY261">
        <v>171.2</v>
      </c>
      <c r="BA261">
        <v>166.1</v>
      </c>
      <c r="BC261">
        <v>171.7</v>
      </c>
    </row>
    <row r="262" spans="3:55" x14ac:dyDescent="0.3">
      <c r="E262">
        <v>207.4</v>
      </c>
      <c r="G262">
        <v>176.9</v>
      </c>
      <c r="I262">
        <v>175.2</v>
      </c>
      <c r="M262">
        <v>169.2</v>
      </c>
      <c r="O262">
        <v>183.5</v>
      </c>
      <c r="Q262">
        <v>184.2</v>
      </c>
      <c r="U262">
        <v>195.6</v>
      </c>
      <c r="W262">
        <v>174.8</v>
      </c>
      <c r="Y262">
        <v>176.3</v>
      </c>
      <c r="AA262">
        <v>177.5</v>
      </c>
      <c r="AC262">
        <v>191.5</v>
      </c>
      <c r="AE262">
        <v>170</v>
      </c>
      <c r="AG262">
        <v>168.1</v>
      </c>
      <c r="AI262">
        <v>168.5</v>
      </c>
      <c r="AM262">
        <v>180.6</v>
      </c>
      <c r="AO262">
        <v>166</v>
      </c>
      <c r="AQ262">
        <v>170.1</v>
      </c>
      <c r="AU262">
        <v>161.1</v>
      </c>
      <c r="AW262">
        <v>169.3</v>
      </c>
      <c r="AY262">
        <v>171.4</v>
      </c>
      <c r="BA262">
        <v>166.6</v>
      </c>
      <c r="BC262">
        <v>172.3</v>
      </c>
    </row>
    <row r="263" spans="3:55" x14ac:dyDescent="0.3">
      <c r="E263">
        <v>207.7</v>
      </c>
      <c r="G263">
        <v>177.2</v>
      </c>
      <c r="I263">
        <v>177</v>
      </c>
      <c r="M263">
        <v>169.5</v>
      </c>
      <c r="O263">
        <v>183.9</v>
      </c>
      <c r="Q263">
        <v>184.4</v>
      </c>
      <c r="U263">
        <v>196.4</v>
      </c>
      <c r="W263">
        <v>175.4</v>
      </c>
      <c r="Y263">
        <v>176.5</v>
      </c>
      <c r="AA263">
        <v>177.8</v>
      </c>
      <c r="AC263">
        <v>191.8</v>
      </c>
      <c r="AE263">
        <v>170.4</v>
      </c>
      <c r="AG263">
        <v>168.4</v>
      </c>
      <c r="AI263">
        <v>169.4</v>
      </c>
      <c r="AM263">
        <v>180.8</v>
      </c>
      <c r="AO263">
        <v>166.4</v>
      </c>
      <c r="AQ263">
        <v>170.4</v>
      </c>
      <c r="AU263">
        <v>161.19999999999999</v>
      </c>
      <c r="AW263">
        <v>169.7</v>
      </c>
      <c r="AY263">
        <v>172</v>
      </c>
      <c r="BA263">
        <v>166.8</v>
      </c>
      <c r="BC263">
        <v>172.5</v>
      </c>
    </row>
    <row r="264" spans="3:55" x14ac:dyDescent="0.3">
      <c r="E264">
        <v>208</v>
      </c>
      <c r="G264">
        <v>177.9</v>
      </c>
      <c r="I264">
        <v>177.3</v>
      </c>
      <c r="M264">
        <v>169.6</v>
      </c>
      <c r="O264">
        <v>184.8</v>
      </c>
      <c r="Q264">
        <v>187.2</v>
      </c>
      <c r="U264">
        <v>197.3</v>
      </c>
      <c r="W264">
        <v>175.8</v>
      </c>
      <c r="Y264">
        <v>176.8</v>
      </c>
      <c r="AA264">
        <v>177.9</v>
      </c>
      <c r="AC264">
        <v>191.9</v>
      </c>
      <c r="AE264">
        <v>170.8</v>
      </c>
      <c r="AG264">
        <v>169.3</v>
      </c>
      <c r="AI264">
        <v>169.6</v>
      </c>
      <c r="AM264">
        <v>181.3</v>
      </c>
      <c r="AO264">
        <v>166.5</v>
      </c>
      <c r="AQ264">
        <v>170.6</v>
      </c>
      <c r="AU264">
        <v>162.1</v>
      </c>
      <c r="AW264">
        <v>169.9</v>
      </c>
      <c r="AY264">
        <v>172.1</v>
      </c>
      <c r="BA264">
        <v>167.3</v>
      </c>
      <c r="BC264">
        <v>172.6</v>
      </c>
    </row>
    <row r="265" spans="3:55" x14ac:dyDescent="0.3">
      <c r="E265">
        <v>208.3</v>
      </c>
      <c r="G265">
        <v>178</v>
      </c>
      <c r="I265">
        <v>177.9</v>
      </c>
      <c r="M265">
        <v>169.7</v>
      </c>
      <c r="O265">
        <v>185</v>
      </c>
      <c r="Q265">
        <v>188.4</v>
      </c>
      <c r="U265">
        <v>198.8</v>
      </c>
      <c r="W265">
        <v>176.4</v>
      </c>
      <c r="Y265">
        <v>177.3</v>
      </c>
      <c r="AA265">
        <v>178.3</v>
      </c>
      <c r="AC265">
        <v>192.1</v>
      </c>
      <c r="AE265">
        <v>171.6</v>
      </c>
      <c r="AG265">
        <v>169.9</v>
      </c>
      <c r="AI265">
        <v>169.8</v>
      </c>
      <c r="AM265">
        <v>181.4</v>
      </c>
      <c r="AO265">
        <v>166.9</v>
      </c>
      <c r="AQ265">
        <v>170.9</v>
      </c>
      <c r="AU265">
        <v>162.19999999999999</v>
      </c>
      <c r="AW265">
        <v>170.3</v>
      </c>
      <c r="AY265">
        <v>172.3</v>
      </c>
      <c r="BA265">
        <v>167.4</v>
      </c>
      <c r="BC265">
        <v>173.1</v>
      </c>
    </row>
    <row r="266" spans="3:55" x14ac:dyDescent="0.3">
      <c r="E266">
        <v>208.4</v>
      </c>
      <c r="G266">
        <v>178.3</v>
      </c>
      <c r="I266">
        <v>178.2</v>
      </c>
      <c r="M266">
        <v>170.9</v>
      </c>
      <c r="O266">
        <v>185.2</v>
      </c>
      <c r="Q266">
        <v>190.1</v>
      </c>
      <c r="U266">
        <v>199.1</v>
      </c>
      <c r="W266">
        <v>176.8</v>
      </c>
      <c r="Y266">
        <v>177.4</v>
      </c>
      <c r="AA266">
        <v>178.6</v>
      </c>
      <c r="AC266">
        <v>192.2</v>
      </c>
      <c r="AE266">
        <v>171.8</v>
      </c>
      <c r="AG266">
        <v>171</v>
      </c>
      <c r="AI266">
        <v>170.6</v>
      </c>
      <c r="AM266">
        <v>181.5</v>
      </c>
      <c r="AO266">
        <v>167.3</v>
      </c>
      <c r="AQ266">
        <v>171.1</v>
      </c>
      <c r="AU266">
        <v>162.69999999999999</v>
      </c>
      <c r="AW266">
        <v>170.6</v>
      </c>
      <c r="AY266">
        <v>173.4</v>
      </c>
      <c r="BA266">
        <v>167.5</v>
      </c>
      <c r="BC266">
        <v>173.4</v>
      </c>
    </row>
    <row r="267" spans="3:55" x14ac:dyDescent="0.3">
      <c r="E267">
        <v>208.8</v>
      </c>
      <c r="G267">
        <v>178.4</v>
      </c>
      <c r="I267">
        <v>178.4</v>
      </c>
      <c r="M267">
        <v>171</v>
      </c>
      <c r="O267">
        <v>185.3</v>
      </c>
      <c r="Q267">
        <v>191.6</v>
      </c>
      <c r="U267">
        <v>199.9</v>
      </c>
      <c r="W267">
        <v>176.9</v>
      </c>
      <c r="Y267">
        <v>178</v>
      </c>
      <c r="AA267">
        <v>179.1</v>
      </c>
      <c r="AC267">
        <v>192.3</v>
      </c>
      <c r="AE267">
        <v>172.1</v>
      </c>
      <c r="AG267">
        <v>171.3</v>
      </c>
      <c r="AI267">
        <v>171.1</v>
      </c>
      <c r="AM267">
        <v>181.6</v>
      </c>
      <c r="AO267">
        <v>167.4</v>
      </c>
      <c r="AQ267">
        <v>171.4</v>
      </c>
      <c r="AU267">
        <v>163.19999999999999</v>
      </c>
      <c r="AW267">
        <v>170.9</v>
      </c>
      <c r="AY267">
        <v>173.6</v>
      </c>
      <c r="BA267">
        <v>168.2</v>
      </c>
      <c r="BC267">
        <v>173.6</v>
      </c>
    </row>
    <row r="268" spans="3:55" x14ac:dyDescent="0.3">
      <c r="E268">
        <v>209</v>
      </c>
      <c r="G268">
        <v>178.8</v>
      </c>
      <c r="I268">
        <v>178.8</v>
      </c>
      <c r="M268">
        <v>171.5</v>
      </c>
      <c r="O268">
        <v>186.4</v>
      </c>
      <c r="Q268" t="s">
        <v>32</v>
      </c>
      <c r="U268">
        <v>200.5</v>
      </c>
      <c r="W268">
        <v>177.6</v>
      </c>
      <c r="Y268">
        <v>178.2</v>
      </c>
      <c r="AA268">
        <v>179.3</v>
      </c>
      <c r="AC268">
        <v>192.4</v>
      </c>
      <c r="AE268">
        <v>172.7</v>
      </c>
      <c r="AG268">
        <v>172.7</v>
      </c>
      <c r="AI268">
        <v>171.2</v>
      </c>
      <c r="AM268">
        <v>181.7</v>
      </c>
      <c r="AO268">
        <v>167.7</v>
      </c>
      <c r="AQ268">
        <v>171.7</v>
      </c>
      <c r="AU268">
        <v>163.30000000000001</v>
      </c>
      <c r="AW268">
        <v>171.2</v>
      </c>
      <c r="AY268">
        <v>173.8</v>
      </c>
      <c r="BA268">
        <v>168.3</v>
      </c>
      <c r="BC268">
        <v>174.1</v>
      </c>
    </row>
    <row r="269" spans="3:55" x14ac:dyDescent="0.3">
      <c r="E269">
        <v>209.2</v>
      </c>
      <c r="G269">
        <v>179.3</v>
      </c>
      <c r="I269">
        <v>179.4</v>
      </c>
      <c r="M269">
        <v>172.1</v>
      </c>
      <c r="O269">
        <v>186.7</v>
      </c>
      <c r="Q269" t="s">
        <v>51</v>
      </c>
      <c r="U269">
        <v>201.6</v>
      </c>
      <c r="W269">
        <v>178.2</v>
      </c>
      <c r="Y269">
        <v>178.9</v>
      </c>
      <c r="AA269">
        <v>179.4</v>
      </c>
      <c r="AC269">
        <v>192.7</v>
      </c>
      <c r="AE269">
        <v>173.2</v>
      </c>
      <c r="AG269">
        <v>173.2</v>
      </c>
      <c r="AI269">
        <v>171.6</v>
      </c>
      <c r="AM269">
        <v>181.9</v>
      </c>
      <c r="AO269">
        <v>168</v>
      </c>
      <c r="AQ269">
        <v>171.9</v>
      </c>
      <c r="AU269">
        <v>163.80000000000001</v>
      </c>
      <c r="AW269">
        <v>171.4</v>
      </c>
      <c r="AY269">
        <v>175.7</v>
      </c>
      <c r="BA269">
        <v>168.4</v>
      </c>
      <c r="BC269">
        <v>174.3</v>
      </c>
    </row>
    <row r="270" spans="3:55" x14ac:dyDescent="0.3">
      <c r="E270">
        <v>209.3</v>
      </c>
      <c r="G270">
        <v>180</v>
      </c>
      <c r="I270">
        <v>179.5</v>
      </c>
      <c r="M270">
        <v>172.2</v>
      </c>
      <c r="O270">
        <v>187.8</v>
      </c>
      <c r="U270">
        <v>202.8</v>
      </c>
      <c r="W270">
        <v>178.7</v>
      </c>
      <c r="Y270">
        <v>179</v>
      </c>
      <c r="AA270">
        <v>179.5</v>
      </c>
      <c r="AC270">
        <v>192.8</v>
      </c>
      <c r="AE270">
        <v>173.7</v>
      </c>
      <c r="AG270">
        <v>174.3</v>
      </c>
      <c r="AI270">
        <v>172.7</v>
      </c>
      <c r="AM270">
        <v>182</v>
      </c>
      <c r="AO270">
        <v>168.5</v>
      </c>
      <c r="AQ270">
        <v>172.2</v>
      </c>
      <c r="AU270">
        <v>164.1</v>
      </c>
      <c r="AW270">
        <v>171.5</v>
      </c>
      <c r="AY270">
        <v>175.8</v>
      </c>
      <c r="BA270">
        <v>168.9</v>
      </c>
      <c r="BC270">
        <v>174.9</v>
      </c>
    </row>
    <row r="271" spans="3:55" x14ac:dyDescent="0.3">
      <c r="E271">
        <v>209.4</v>
      </c>
      <c r="G271">
        <v>180.1</v>
      </c>
      <c r="I271">
        <v>179.6</v>
      </c>
      <c r="M271">
        <v>172.5</v>
      </c>
      <c r="O271">
        <v>188.3</v>
      </c>
      <c r="U271">
        <v>204.3</v>
      </c>
      <c r="W271" t="s">
        <v>32</v>
      </c>
      <c r="Y271">
        <v>179.3</v>
      </c>
      <c r="AA271">
        <v>179.6</v>
      </c>
      <c r="AC271">
        <v>192.9</v>
      </c>
      <c r="AE271">
        <v>173.9</v>
      </c>
      <c r="AG271">
        <v>175.1</v>
      </c>
      <c r="AI271">
        <v>172.8</v>
      </c>
      <c r="AM271">
        <v>182.1</v>
      </c>
      <c r="AO271">
        <v>168.9</v>
      </c>
      <c r="AQ271">
        <v>172.5</v>
      </c>
      <c r="AU271">
        <v>164.4</v>
      </c>
      <c r="AW271">
        <v>171.8</v>
      </c>
      <c r="AY271">
        <v>176</v>
      </c>
      <c r="BA271">
        <v>169.1</v>
      </c>
      <c r="BC271">
        <v>175.3</v>
      </c>
    </row>
    <row r="272" spans="3:55" x14ac:dyDescent="0.3">
      <c r="E272">
        <v>209.7</v>
      </c>
      <c r="G272">
        <v>180.2</v>
      </c>
      <c r="I272" t="s">
        <v>32</v>
      </c>
      <c r="M272">
        <v>172.6</v>
      </c>
      <c r="O272">
        <v>188.4</v>
      </c>
      <c r="U272">
        <v>204.8</v>
      </c>
      <c r="W272" t="s">
        <v>51</v>
      </c>
      <c r="Y272">
        <v>180</v>
      </c>
      <c r="AA272">
        <v>180.4</v>
      </c>
      <c r="AC272">
        <v>193.2</v>
      </c>
      <c r="AE272">
        <v>174.1</v>
      </c>
      <c r="AG272">
        <v>175.3</v>
      </c>
      <c r="AI272">
        <v>173</v>
      </c>
      <c r="AM272">
        <v>182.5</v>
      </c>
      <c r="AO272">
        <v>169.2</v>
      </c>
      <c r="AQ272">
        <v>172.6</v>
      </c>
      <c r="AU272">
        <v>164.5</v>
      </c>
      <c r="AW272">
        <v>172.3</v>
      </c>
      <c r="AY272">
        <v>178.4</v>
      </c>
      <c r="BA272">
        <v>169.7</v>
      </c>
      <c r="BC272">
        <v>175.7</v>
      </c>
    </row>
    <row r="273" spans="5:55" x14ac:dyDescent="0.3">
      <c r="E273">
        <v>210.7</v>
      </c>
      <c r="G273">
        <v>180.4</v>
      </c>
      <c r="I273" t="s">
        <v>51</v>
      </c>
      <c r="M273">
        <v>172.9</v>
      </c>
      <c r="O273">
        <v>189.1</v>
      </c>
      <c r="U273">
        <v>205.2</v>
      </c>
      <c r="Y273">
        <v>180.4</v>
      </c>
      <c r="AA273">
        <v>180.7</v>
      </c>
      <c r="AC273">
        <v>193.3</v>
      </c>
      <c r="AE273">
        <v>175</v>
      </c>
      <c r="AG273">
        <v>176.2</v>
      </c>
      <c r="AI273">
        <v>173.6</v>
      </c>
      <c r="AM273">
        <v>182.6</v>
      </c>
      <c r="AO273">
        <v>169.5</v>
      </c>
      <c r="AQ273">
        <v>173</v>
      </c>
      <c r="AU273">
        <v>164.6</v>
      </c>
      <c r="AW273">
        <v>172.5</v>
      </c>
      <c r="AY273">
        <v>178.6</v>
      </c>
      <c r="BA273">
        <v>170</v>
      </c>
      <c r="BC273">
        <v>176.3</v>
      </c>
    </row>
    <row r="274" spans="5:55" x14ac:dyDescent="0.3">
      <c r="E274">
        <v>210.8</v>
      </c>
      <c r="G274">
        <v>180.7</v>
      </c>
      <c r="M274">
        <v>173.7</v>
      </c>
      <c r="O274">
        <v>190.7</v>
      </c>
      <c r="U274">
        <v>207.5</v>
      </c>
      <c r="Y274">
        <v>180.9</v>
      </c>
      <c r="AA274">
        <v>180.8</v>
      </c>
      <c r="AC274">
        <v>193.5</v>
      </c>
      <c r="AE274">
        <v>175.4</v>
      </c>
      <c r="AG274">
        <v>177</v>
      </c>
      <c r="AI274">
        <v>173.7</v>
      </c>
      <c r="AM274">
        <v>182.8</v>
      </c>
      <c r="AO274">
        <v>169.6</v>
      </c>
      <c r="AQ274">
        <v>173.4</v>
      </c>
      <c r="AU274">
        <v>164.9</v>
      </c>
      <c r="AW274">
        <v>172.6</v>
      </c>
      <c r="AY274">
        <v>178.8</v>
      </c>
      <c r="BA274">
        <v>170.2</v>
      </c>
      <c r="BC274">
        <v>176.4</v>
      </c>
    </row>
    <row r="275" spans="5:55" x14ac:dyDescent="0.3">
      <c r="E275">
        <v>210.9</v>
      </c>
      <c r="G275">
        <v>181.4</v>
      </c>
      <c r="M275">
        <v>174.1</v>
      </c>
      <c r="O275">
        <v>191.4</v>
      </c>
      <c r="U275">
        <v>207.8</v>
      </c>
      <c r="Y275">
        <v>181.5</v>
      </c>
      <c r="AA275">
        <v>181.3</v>
      </c>
      <c r="AC275">
        <v>193.7</v>
      </c>
      <c r="AE275">
        <v>175.5</v>
      </c>
      <c r="AG275">
        <v>177.2</v>
      </c>
      <c r="AI275">
        <v>174.6</v>
      </c>
      <c r="AM275">
        <v>183.2</v>
      </c>
      <c r="AO275">
        <v>170.1</v>
      </c>
      <c r="AQ275">
        <v>173.8</v>
      </c>
      <c r="AU275">
        <v>165.1</v>
      </c>
      <c r="AW275">
        <v>173.1</v>
      </c>
      <c r="AY275">
        <v>180.7</v>
      </c>
      <c r="BA275">
        <v>170.5</v>
      </c>
      <c r="BC275">
        <v>176.5</v>
      </c>
    </row>
    <row r="276" spans="5:55" x14ac:dyDescent="0.3">
      <c r="E276">
        <v>211.5</v>
      </c>
      <c r="G276">
        <v>182.2</v>
      </c>
      <c r="M276">
        <v>174.2</v>
      </c>
      <c r="O276">
        <v>191.5</v>
      </c>
      <c r="U276">
        <v>208.4</v>
      </c>
      <c r="Y276">
        <v>181.9</v>
      </c>
      <c r="AA276">
        <v>181.8</v>
      </c>
      <c r="AC276">
        <v>193.9</v>
      </c>
      <c r="AE276">
        <v>175.6</v>
      </c>
      <c r="AG276">
        <v>177.6</v>
      </c>
      <c r="AI276">
        <v>174.7</v>
      </c>
      <c r="AM276">
        <v>183.4</v>
      </c>
      <c r="AO276">
        <v>170.3</v>
      </c>
      <c r="AQ276">
        <v>174</v>
      </c>
      <c r="AU276">
        <v>165.5</v>
      </c>
      <c r="AW276">
        <v>173.4</v>
      </c>
      <c r="AY276">
        <v>181</v>
      </c>
      <c r="BA276">
        <v>170.9</v>
      </c>
      <c r="BC276">
        <v>176.7</v>
      </c>
    </row>
    <row r="277" spans="5:55" x14ac:dyDescent="0.3">
      <c r="E277">
        <v>211.8</v>
      </c>
      <c r="G277">
        <v>182.8</v>
      </c>
      <c r="M277">
        <v>174.5</v>
      </c>
      <c r="O277">
        <v>191.8</v>
      </c>
      <c r="U277">
        <v>209.7</v>
      </c>
      <c r="Y277">
        <v>182.5</v>
      </c>
      <c r="AA277">
        <v>182.1</v>
      </c>
      <c r="AC277">
        <v>194.1</v>
      </c>
      <c r="AE277">
        <v>176.7</v>
      </c>
      <c r="AG277">
        <v>178.7</v>
      </c>
      <c r="AI277">
        <v>175.1</v>
      </c>
      <c r="AM277" t="s">
        <v>32</v>
      </c>
      <c r="AO277">
        <v>170.4</v>
      </c>
      <c r="AQ277">
        <v>174.7</v>
      </c>
      <c r="AU277">
        <v>165.8</v>
      </c>
      <c r="AW277">
        <v>173.7</v>
      </c>
      <c r="AY277">
        <v>181.4</v>
      </c>
      <c r="BA277">
        <v>171</v>
      </c>
      <c r="BC277">
        <v>177.1</v>
      </c>
    </row>
    <row r="278" spans="5:55" x14ac:dyDescent="0.3">
      <c r="E278">
        <v>212.2</v>
      </c>
      <c r="G278">
        <v>183.2</v>
      </c>
      <c r="M278">
        <v>175.8</v>
      </c>
      <c r="O278">
        <v>191.9</v>
      </c>
      <c r="U278">
        <v>210.5</v>
      </c>
      <c r="Y278">
        <v>183.1</v>
      </c>
      <c r="AA278">
        <v>183.1</v>
      </c>
      <c r="AC278">
        <v>194.3</v>
      </c>
      <c r="AE278">
        <v>177.1</v>
      </c>
      <c r="AG278">
        <v>179.2</v>
      </c>
      <c r="AI278">
        <v>175.7</v>
      </c>
      <c r="AM278" t="s">
        <v>51</v>
      </c>
      <c r="AO278">
        <v>171.3</v>
      </c>
      <c r="AQ278">
        <v>174.8</v>
      </c>
      <c r="AU278">
        <v>166.3</v>
      </c>
      <c r="AW278">
        <v>174.1</v>
      </c>
      <c r="AY278">
        <v>181.5</v>
      </c>
      <c r="BA278">
        <v>171.1</v>
      </c>
      <c r="BC278">
        <v>177.2</v>
      </c>
    </row>
    <row r="279" spans="5:55" x14ac:dyDescent="0.3">
      <c r="E279">
        <v>212.9</v>
      </c>
      <c r="G279">
        <v>185</v>
      </c>
      <c r="M279">
        <v>175.9</v>
      </c>
      <c r="O279">
        <v>192.4</v>
      </c>
      <c r="U279">
        <v>211.9</v>
      </c>
      <c r="Y279">
        <v>183.3</v>
      </c>
      <c r="AA279">
        <v>183.3</v>
      </c>
      <c r="AC279">
        <v>194.4</v>
      </c>
      <c r="AE279">
        <v>177.5</v>
      </c>
      <c r="AG279">
        <v>179.7</v>
      </c>
      <c r="AI279">
        <v>176</v>
      </c>
      <c r="AO279">
        <v>171.4</v>
      </c>
      <c r="AQ279">
        <v>175.3</v>
      </c>
      <c r="AU279">
        <v>166.6</v>
      </c>
      <c r="AW279">
        <v>174.2</v>
      </c>
      <c r="AY279">
        <v>183.8</v>
      </c>
      <c r="BA279">
        <v>171.6</v>
      </c>
      <c r="BC279">
        <v>177.4</v>
      </c>
    </row>
    <row r="280" spans="5:55" x14ac:dyDescent="0.3">
      <c r="E280">
        <v>213</v>
      </c>
      <c r="G280">
        <v>189.1</v>
      </c>
      <c r="M280">
        <v>176.3</v>
      </c>
      <c r="O280">
        <v>192.8</v>
      </c>
      <c r="U280">
        <v>212.1</v>
      </c>
      <c r="Y280">
        <v>183.9</v>
      </c>
      <c r="AA280" t="s">
        <v>32</v>
      </c>
      <c r="AC280">
        <v>194.5</v>
      </c>
      <c r="AE280">
        <v>177.7</v>
      </c>
      <c r="AG280">
        <v>180.3</v>
      </c>
      <c r="AI280">
        <v>176.6</v>
      </c>
      <c r="AO280">
        <v>172.1</v>
      </c>
      <c r="AQ280">
        <v>175.4</v>
      </c>
      <c r="AU280">
        <v>166.7</v>
      </c>
      <c r="AW280">
        <v>174.3</v>
      </c>
      <c r="AY280">
        <v>184</v>
      </c>
      <c r="BA280">
        <v>171.8</v>
      </c>
      <c r="BC280">
        <v>177.8</v>
      </c>
    </row>
    <row r="281" spans="5:55" x14ac:dyDescent="0.3">
      <c r="E281">
        <v>213.4</v>
      </c>
      <c r="G281">
        <v>190.2</v>
      </c>
      <c r="M281">
        <v>177.1</v>
      </c>
      <c r="O281">
        <v>194.2</v>
      </c>
      <c r="U281">
        <v>212.9</v>
      </c>
      <c r="Y281">
        <v>184</v>
      </c>
      <c r="AA281" t="s">
        <v>51</v>
      </c>
      <c r="AC281">
        <v>194.6</v>
      </c>
      <c r="AE281">
        <v>178.3</v>
      </c>
      <c r="AG281">
        <v>181.7</v>
      </c>
      <c r="AI281">
        <v>177.1</v>
      </c>
      <c r="AO281">
        <v>172.3</v>
      </c>
      <c r="AQ281">
        <v>175.8</v>
      </c>
      <c r="AU281">
        <v>166.9</v>
      </c>
      <c r="AW281">
        <v>174.7</v>
      </c>
      <c r="AY281">
        <v>184.4</v>
      </c>
      <c r="BA281">
        <v>172</v>
      </c>
      <c r="BC281">
        <v>177.9</v>
      </c>
    </row>
    <row r="282" spans="5:55" x14ac:dyDescent="0.3">
      <c r="E282">
        <v>213.7</v>
      </c>
      <c r="G282">
        <v>191.9</v>
      </c>
      <c r="M282">
        <v>179.2</v>
      </c>
      <c r="O282">
        <v>197</v>
      </c>
      <c r="U282">
        <v>215.5</v>
      </c>
      <c r="Y282">
        <v>184.8</v>
      </c>
      <c r="AC282">
        <v>194.9</v>
      </c>
      <c r="AE282">
        <v>178.7</v>
      </c>
      <c r="AG282">
        <v>183.3</v>
      </c>
      <c r="AI282">
        <v>177.3</v>
      </c>
      <c r="AO282">
        <v>172.9</v>
      </c>
      <c r="AQ282">
        <v>176</v>
      </c>
      <c r="AU282">
        <v>167.1</v>
      </c>
      <c r="AW282">
        <v>174.8</v>
      </c>
      <c r="AY282">
        <v>184.9</v>
      </c>
      <c r="BA282">
        <v>172.6</v>
      </c>
      <c r="BC282">
        <v>178</v>
      </c>
    </row>
    <row r="283" spans="5:55" x14ac:dyDescent="0.3">
      <c r="E283">
        <v>214.3</v>
      </c>
      <c r="G283">
        <v>192.9</v>
      </c>
      <c r="M283">
        <v>179.5</v>
      </c>
      <c r="O283">
        <v>198</v>
      </c>
      <c r="U283">
        <v>218</v>
      </c>
      <c r="Y283">
        <v>184.9</v>
      </c>
      <c r="AC283">
        <v>195</v>
      </c>
      <c r="AE283">
        <v>179.3</v>
      </c>
      <c r="AG283">
        <v>184.4</v>
      </c>
      <c r="AI283">
        <v>178.2</v>
      </c>
      <c r="AO283">
        <v>173.6</v>
      </c>
      <c r="AQ283">
        <v>176.1</v>
      </c>
      <c r="AU283">
        <v>167.2</v>
      </c>
      <c r="AW283">
        <v>175</v>
      </c>
      <c r="AY283">
        <v>185.2</v>
      </c>
      <c r="BA283">
        <v>172.8</v>
      </c>
      <c r="BC283">
        <v>178.1</v>
      </c>
    </row>
    <row r="284" spans="5:55" x14ac:dyDescent="0.3">
      <c r="E284">
        <v>214.7</v>
      </c>
      <c r="G284">
        <v>194.5</v>
      </c>
      <c r="M284" t="s">
        <v>32</v>
      </c>
      <c r="O284">
        <v>199.2</v>
      </c>
      <c r="U284">
        <v>221</v>
      </c>
      <c r="Y284">
        <v>185.2</v>
      </c>
      <c r="AC284">
        <v>195.5</v>
      </c>
      <c r="AE284">
        <v>179.5</v>
      </c>
      <c r="AG284">
        <v>185.2</v>
      </c>
      <c r="AI284">
        <v>178.5</v>
      </c>
      <c r="AO284">
        <v>174.2</v>
      </c>
      <c r="AQ284">
        <v>176.8</v>
      </c>
      <c r="AU284">
        <v>167.6</v>
      </c>
      <c r="AW284">
        <v>175.7</v>
      </c>
      <c r="AY284">
        <v>185.6</v>
      </c>
      <c r="BA284">
        <v>173.1</v>
      </c>
      <c r="BC284">
        <v>178.2</v>
      </c>
    </row>
    <row r="285" spans="5:55" x14ac:dyDescent="0.3">
      <c r="E285">
        <v>214.9</v>
      </c>
      <c r="G285">
        <v>197</v>
      </c>
      <c r="M285" t="s">
        <v>51</v>
      </c>
      <c r="O285">
        <v>199.6</v>
      </c>
      <c r="U285" t="s">
        <v>32</v>
      </c>
      <c r="Y285">
        <v>185.6</v>
      </c>
      <c r="AC285">
        <v>195.6</v>
      </c>
      <c r="AE285">
        <v>180.2</v>
      </c>
      <c r="AG285">
        <v>185.9</v>
      </c>
      <c r="AI285">
        <v>178.9</v>
      </c>
      <c r="AO285">
        <v>174.4</v>
      </c>
      <c r="AQ285">
        <v>177</v>
      </c>
      <c r="AU285">
        <v>167.8</v>
      </c>
      <c r="AW285">
        <v>176.2</v>
      </c>
      <c r="AY285" t="s">
        <v>32</v>
      </c>
      <c r="BA285">
        <v>173.9</v>
      </c>
      <c r="BC285">
        <v>178.8</v>
      </c>
    </row>
    <row r="286" spans="5:55" x14ac:dyDescent="0.3">
      <c r="E286">
        <v>215.2</v>
      </c>
      <c r="G286" t="s">
        <v>32</v>
      </c>
      <c r="O286">
        <v>199.7</v>
      </c>
      <c r="U286" t="s">
        <v>51</v>
      </c>
      <c r="Y286">
        <v>186.3</v>
      </c>
      <c r="AC286">
        <v>195.9</v>
      </c>
      <c r="AE286">
        <v>180.3</v>
      </c>
      <c r="AG286">
        <v>186.3</v>
      </c>
      <c r="AI286">
        <v>179</v>
      </c>
      <c r="AO286">
        <v>174.6</v>
      </c>
      <c r="AQ286">
        <v>177.2</v>
      </c>
      <c r="AU286">
        <v>168</v>
      </c>
      <c r="AW286">
        <v>176.4</v>
      </c>
      <c r="AY286" t="s">
        <v>51</v>
      </c>
      <c r="BA286">
        <v>174.1</v>
      </c>
      <c r="BC286">
        <v>179.1</v>
      </c>
    </row>
    <row r="287" spans="5:55" x14ac:dyDescent="0.3">
      <c r="E287">
        <v>215.8</v>
      </c>
      <c r="G287" t="s">
        <v>51</v>
      </c>
      <c r="O287">
        <v>200.6</v>
      </c>
      <c r="Y287">
        <v>186.9</v>
      </c>
      <c r="AC287">
        <v>196.3</v>
      </c>
      <c r="AE287">
        <v>180.7</v>
      </c>
      <c r="AG287">
        <v>187</v>
      </c>
      <c r="AI287">
        <v>179.3</v>
      </c>
      <c r="AO287">
        <v>175.2</v>
      </c>
      <c r="AQ287">
        <v>177.7</v>
      </c>
      <c r="AU287">
        <v>168.2</v>
      </c>
      <c r="AW287">
        <v>176.5</v>
      </c>
      <c r="BA287">
        <v>174.6</v>
      </c>
      <c r="BC287">
        <v>179.8</v>
      </c>
    </row>
    <row r="288" spans="5:55" x14ac:dyDescent="0.3">
      <c r="E288">
        <v>217</v>
      </c>
      <c r="O288">
        <v>202</v>
      </c>
      <c r="Y288">
        <v>187.4</v>
      </c>
      <c r="AC288">
        <v>196.4</v>
      </c>
      <c r="AE288">
        <v>180.9</v>
      </c>
      <c r="AG288">
        <v>187.3</v>
      </c>
      <c r="AI288">
        <v>179.9</v>
      </c>
      <c r="AO288">
        <v>175.5</v>
      </c>
      <c r="AQ288">
        <v>177.8</v>
      </c>
      <c r="AU288">
        <v>168.4</v>
      </c>
      <c r="AW288">
        <v>176.9</v>
      </c>
      <c r="BA288">
        <v>175</v>
      </c>
      <c r="BC288" t="s">
        <v>32</v>
      </c>
    </row>
    <row r="289" spans="5:55" x14ac:dyDescent="0.3">
      <c r="E289">
        <v>217.1</v>
      </c>
      <c r="O289">
        <v>203.2</v>
      </c>
      <c r="Y289">
        <v>187.7</v>
      </c>
      <c r="AC289">
        <v>196.5</v>
      </c>
      <c r="AE289">
        <v>181</v>
      </c>
      <c r="AG289">
        <v>187.9</v>
      </c>
      <c r="AI289">
        <v>180.4</v>
      </c>
      <c r="AO289">
        <v>176.4</v>
      </c>
      <c r="AQ289">
        <v>178.2</v>
      </c>
      <c r="AU289">
        <v>168.5</v>
      </c>
      <c r="AW289">
        <v>177.1</v>
      </c>
      <c r="BA289">
        <v>175.5</v>
      </c>
      <c r="BC289" t="s">
        <v>51</v>
      </c>
    </row>
    <row r="290" spans="5:55" x14ac:dyDescent="0.3">
      <c r="E290">
        <v>217.2</v>
      </c>
      <c r="O290">
        <v>203.6</v>
      </c>
      <c r="Y290">
        <v>188.3</v>
      </c>
      <c r="AC290">
        <v>196.8</v>
      </c>
      <c r="AE290">
        <v>181.3</v>
      </c>
      <c r="AG290" t="s">
        <v>32</v>
      </c>
      <c r="AI290">
        <v>181</v>
      </c>
      <c r="AO290">
        <v>177.2</v>
      </c>
      <c r="AQ290">
        <v>178.5</v>
      </c>
      <c r="AU290">
        <v>168.6</v>
      </c>
      <c r="AW290">
        <v>177.3</v>
      </c>
      <c r="BA290">
        <v>175.7</v>
      </c>
    </row>
    <row r="291" spans="5:55" x14ac:dyDescent="0.3">
      <c r="E291">
        <v>219.4</v>
      </c>
      <c r="O291">
        <v>205.5</v>
      </c>
      <c r="Y291">
        <v>188.5</v>
      </c>
      <c r="AC291">
        <v>196.9</v>
      </c>
      <c r="AE291">
        <v>181.9</v>
      </c>
      <c r="AG291" t="s">
        <v>51</v>
      </c>
      <c r="AI291">
        <v>181.7</v>
      </c>
      <c r="AO291">
        <v>178.6</v>
      </c>
      <c r="AQ291">
        <v>178.7</v>
      </c>
      <c r="AU291">
        <v>168.8</v>
      </c>
      <c r="AW291">
        <v>177.8</v>
      </c>
      <c r="BA291">
        <v>176.5</v>
      </c>
    </row>
    <row r="292" spans="5:55" x14ac:dyDescent="0.3">
      <c r="E292">
        <v>221.2</v>
      </c>
      <c r="O292">
        <v>206.8</v>
      </c>
      <c r="Y292">
        <v>188.9</v>
      </c>
      <c r="AC292">
        <v>197</v>
      </c>
      <c r="AE292">
        <v>182</v>
      </c>
      <c r="AI292">
        <v>182.1</v>
      </c>
      <c r="AO292">
        <v>179.1</v>
      </c>
      <c r="AQ292">
        <v>178.8</v>
      </c>
      <c r="AU292">
        <v>168.9</v>
      </c>
      <c r="AW292">
        <v>178.5</v>
      </c>
      <c r="BA292">
        <v>177.9</v>
      </c>
    </row>
    <row r="293" spans="5:55" x14ac:dyDescent="0.3">
      <c r="E293">
        <v>223.4</v>
      </c>
      <c r="O293">
        <v>207.2</v>
      </c>
      <c r="Y293">
        <v>189.5</v>
      </c>
      <c r="AC293">
        <v>197.1</v>
      </c>
      <c r="AE293">
        <v>183.1</v>
      </c>
      <c r="AI293">
        <v>183</v>
      </c>
      <c r="AO293">
        <v>179.8</v>
      </c>
      <c r="AQ293">
        <v>179.4</v>
      </c>
      <c r="AU293">
        <v>169.2</v>
      </c>
      <c r="AW293">
        <v>179.4</v>
      </c>
      <c r="BA293">
        <v>178.9</v>
      </c>
    </row>
    <row r="294" spans="5:55" x14ac:dyDescent="0.3">
      <c r="E294" t="s">
        <v>32</v>
      </c>
      <c r="O294">
        <v>207.8</v>
      </c>
      <c r="Y294">
        <v>189.9</v>
      </c>
      <c r="AC294">
        <v>197.3</v>
      </c>
      <c r="AE294">
        <v>183.2</v>
      </c>
      <c r="AI294">
        <v>183.8</v>
      </c>
      <c r="AO294" t="s">
        <v>32</v>
      </c>
      <c r="AQ294">
        <v>179.8</v>
      </c>
      <c r="AU294">
        <v>169.3</v>
      </c>
      <c r="AW294">
        <v>180.3</v>
      </c>
      <c r="BA294">
        <v>179.5</v>
      </c>
    </row>
    <row r="295" spans="5:55" x14ac:dyDescent="0.3">
      <c r="E295" t="s">
        <v>51</v>
      </c>
      <c r="O295">
        <v>208.5</v>
      </c>
      <c r="Y295">
        <v>190.3</v>
      </c>
      <c r="AC295">
        <v>197.5</v>
      </c>
      <c r="AE295">
        <v>184</v>
      </c>
      <c r="AI295">
        <v>184.5</v>
      </c>
      <c r="AO295" t="s">
        <v>51</v>
      </c>
      <c r="AQ295">
        <v>180.2</v>
      </c>
      <c r="AU295">
        <v>169.5</v>
      </c>
      <c r="AW295" t="s">
        <v>32</v>
      </c>
      <c r="BA295" t="s">
        <v>32</v>
      </c>
    </row>
    <row r="296" spans="5:55" x14ac:dyDescent="0.3">
      <c r="O296">
        <v>209.2</v>
      </c>
      <c r="Y296">
        <v>190.4</v>
      </c>
      <c r="AC296">
        <v>198.2</v>
      </c>
      <c r="AE296">
        <v>184.7</v>
      </c>
      <c r="AI296">
        <v>185.1</v>
      </c>
      <c r="AQ296">
        <v>180.8</v>
      </c>
      <c r="AU296">
        <v>170</v>
      </c>
      <c r="AW296" t="s">
        <v>51</v>
      </c>
      <c r="BA296" t="s">
        <v>51</v>
      </c>
    </row>
    <row r="297" spans="5:55" x14ac:dyDescent="0.3">
      <c r="O297">
        <v>209.5</v>
      </c>
      <c r="Y297">
        <v>190.5</v>
      </c>
      <c r="AC297">
        <v>198.3</v>
      </c>
      <c r="AE297">
        <v>184.9</v>
      </c>
      <c r="AI297">
        <v>185.7</v>
      </c>
      <c r="AQ297">
        <v>181.1</v>
      </c>
      <c r="AU297">
        <v>170.3</v>
      </c>
    </row>
    <row r="298" spans="5:55" x14ac:dyDescent="0.3">
      <c r="O298">
        <v>211.5</v>
      </c>
      <c r="Y298">
        <v>191.1</v>
      </c>
      <c r="AC298">
        <v>198.4</v>
      </c>
      <c r="AE298">
        <v>186.1</v>
      </c>
      <c r="AI298">
        <v>185.9</v>
      </c>
      <c r="AQ298">
        <v>181.2</v>
      </c>
      <c r="AU298">
        <v>170.6</v>
      </c>
    </row>
    <row r="299" spans="5:55" x14ac:dyDescent="0.3">
      <c r="O299">
        <v>213.1</v>
      </c>
      <c r="Y299">
        <v>191.2</v>
      </c>
      <c r="AC299">
        <v>198.6</v>
      </c>
      <c r="AE299">
        <v>186.2</v>
      </c>
      <c r="AI299">
        <v>186.2</v>
      </c>
      <c r="AQ299">
        <v>181.5</v>
      </c>
      <c r="AU299">
        <v>170.7</v>
      </c>
    </row>
    <row r="300" spans="5:55" x14ac:dyDescent="0.3">
      <c r="O300">
        <v>214.4</v>
      </c>
      <c r="Y300">
        <v>191.5</v>
      </c>
      <c r="AC300">
        <v>198.7</v>
      </c>
      <c r="AE300">
        <v>186.9</v>
      </c>
      <c r="AI300">
        <v>186.9</v>
      </c>
      <c r="AQ300">
        <v>182.2</v>
      </c>
      <c r="AU300">
        <v>170.8</v>
      </c>
    </row>
    <row r="301" spans="5:55" x14ac:dyDescent="0.3">
      <c r="O301">
        <v>215.7</v>
      </c>
      <c r="Y301">
        <v>192.4</v>
      </c>
      <c r="AC301">
        <v>199.5</v>
      </c>
      <c r="AE301">
        <v>187.2</v>
      </c>
      <c r="AI301">
        <v>187.8</v>
      </c>
      <c r="AQ301">
        <v>182.3</v>
      </c>
      <c r="AU301">
        <v>171.2</v>
      </c>
    </row>
    <row r="302" spans="5:55" x14ac:dyDescent="0.3">
      <c r="O302">
        <v>217</v>
      </c>
      <c r="Y302">
        <v>193</v>
      </c>
      <c r="AC302">
        <v>199.7</v>
      </c>
      <c r="AE302">
        <v>187.3</v>
      </c>
      <c r="AI302">
        <v>188.6</v>
      </c>
      <c r="AQ302">
        <v>183.5</v>
      </c>
      <c r="AU302">
        <v>171.8</v>
      </c>
    </row>
    <row r="303" spans="5:55" x14ac:dyDescent="0.3">
      <c r="O303">
        <v>219.5</v>
      </c>
      <c r="Y303">
        <v>193.3</v>
      </c>
      <c r="AC303">
        <v>199.9</v>
      </c>
      <c r="AE303">
        <v>188.1</v>
      </c>
      <c r="AI303">
        <v>189.6</v>
      </c>
      <c r="AQ303">
        <v>184.4</v>
      </c>
      <c r="AU303">
        <v>172.8</v>
      </c>
    </row>
    <row r="304" spans="5:55" x14ac:dyDescent="0.3">
      <c r="O304">
        <v>220.8</v>
      </c>
      <c r="Y304">
        <v>193.5</v>
      </c>
      <c r="AC304">
        <v>200.1</v>
      </c>
      <c r="AE304">
        <v>189</v>
      </c>
      <c r="AI304">
        <v>190.2</v>
      </c>
      <c r="AQ304">
        <v>184.7</v>
      </c>
      <c r="AU304">
        <v>173.2</v>
      </c>
    </row>
    <row r="305" spans="15:47" x14ac:dyDescent="0.3">
      <c r="O305">
        <v>222.2</v>
      </c>
      <c r="Y305">
        <v>194.2</v>
      </c>
      <c r="AC305">
        <v>200.6</v>
      </c>
      <c r="AE305">
        <v>190</v>
      </c>
      <c r="AI305">
        <v>190.8</v>
      </c>
      <c r="AQ305">
        <v>185</v>
      </c>
      <c r="AU305">
        <v>173.8</v>
      </c>
    </row>
    <row r="306" spans="15:47" x14ac:dyDescent="0.3">
      <c r="O306">
        <v>225.2</v>
      </c>
      <c r="Y306">
        <v>194.3</v>
      </c>
      <c r="AC306">
        <v>201</v>
      </c>
      <c r="AE306">
        <v>190.7</v>
      </c>
      <c r="AI306" t="s">
        <v>32</v>
      </c>
      <c r="AQ306">
        <v>185.7</v>
      </c>
      <c r="AU306" t="s">
        <v>32</v>
      </c>
    </row>
    <row r="307" spans="15:47" x14ac:dyDescent="0.3">
      <c r="O307">
        <v>226</v>
      </c>
      <c r="Y307">
        <v>196.6</v>
      </c>
      <c r="AC307">
        <v>201.1</v>
      </c>
      <c r="AE307">
        <v>191.2</v>
      </c>
      <c r="AI307" t="s">
        <v>51</v>
      </c>
      <c r="AQ307">
        <v>186.6</v>
      </c>
      <c r="AU307" t="s">
        <v>51</v>
      </c>
    </row>
    <row r="308" spans="15:47" x14ac:dyDescent="0.3">
      <c r="O308">
        <v>228.6</v>
      </c>
      <c r="Y308">
        <v>197</v>
      </c>
      <c r="AC308">
        <v>201.6</v>
      </c>
      <c r="AE308" t="s">
        <v>32</v>
      </c>
      <c r="AQ308">
        <v>187.2</v>
      </c>
    </row>
    <row r="309" spans="15:47" x14ac:dyDescent="0.3">
      <c r="O309">
        <v>229.1</v>
      </c>
      <c r="Y309">
        <v>197.7</v>
      </c>
      <c r="AC309">
        <v>202.7</v>
      </c>
      <c r="AE309" t="s">
        <v>51</v>
      </c>
      <c r="AQ309">
        <v>187.8</v>
      </c>
    </row>
    <row r="310" spans="15:47" x14ac:dyDescent="0.3">
      <c r="O310">
        <v>230</v>
      </c>
      <c r="Y310" t="s">
        <v>32</v>
      </c>
      <c r="AC310">
        <v>203.5</v>
      </c>
      <c r="AQ310" t="s">
        <v>32</v>
      </c>
    </row>
    <row r="311" spans="15:47" x14ac:dyDescent="0.3">
      <c r="O311">
        <v>230.5</v>
      </c>
      <c r="Y311" t="s">
        <v>51</v>
      </c>
      <c r="AC311">
        <v>204.2</v>
      </c>
      <c r="AQ311" t="s">
        <v>51</v>
      </c>
    </row>
    <row r="312" spans="15:47" x14ac:dyDescent="0.3">
      <c r="O312">
        <v>231.5</v>
      </c>
      <c r="AC312" t="s">
        <v>32</v>
      </c>
    </row>
    <row r="313" spans="15:47" x14ac:dyDescent="0.3">
      <c r="O313">
        <v>240.9</v>
      </c>
      <c r="AC313" t="s">
        <v>51</v>
      </c>
    </row>
    <row r="314" spans="15:47" x14ac:dyDescent="0.3">
      <c r="O314">
        <v>245.3</v>
      </c>
    </row>
    <row r="315" spans="15:47" x14ac:dyDescent="0.3">
      <c r="O31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01CC-B7FE-4CF6-BA4D-D67502F46D49}">
  <dimension ref="B3:I34"/>
  <sheetViews>
    <sheetView zoomScale="79" workbookViewId="0">
      <selection activeCell="C12" sqref="C12"/>
    </sheetView>
  </sheetViews>
  <sheetFormatPr defaultRowHeight="14.4" x14ac:dyDescent="0.3"/>
  <cols>
    <col min="2" max="2" width="30.44140625" customWidth="1"/>
    <col min="3" max="3" width="41.33203125" customWidth="1"/>
    <col min="4" max="4" width="11.88671875" customWidth="1"/>
    <col min="8" max="8" width="28.33203125" customWidth="1"/>
    <col min="9" max="9" width="22.77734375" customWidth="1"/>
  </cols>
  <sheetData>
    <row r="3" spans="2:9" x14ac:dyDescent="0.3">
      <c r="B3" s="1" t="s">
        <v>52</v>
      </c>
      <c r="C3" s="1" t="s">
        <v>54</v>
      </c>
      <c r="D3" s="1" t="s">
        <v>53</v>
      </c>
    </row>
    <row r="4" spans="2:9" x14ac:dyDescent="0.3">
      <c r="B4" t="s">
        <v>56</v>
      </c>
    </row>
    <row r="5" spans="2:9" x14ac:dyDescent="0.3">
      <c r="B5" t="s">
        <v>0</v>
      </c>
      <c r="C5" t="s">
        <v>55</v>
      </c>
    </row>
    <row r="6" spans="2:9" x14ac:dyDescent="0.3">
      <c r="B6" t="s">
        <v>1</v>
      </c>
      <c r="C6" t="s">
        <v>55</v>
      </c>
    </row>
    <row r="7" spans="2:9" x14ac:dyDescent="0.3">
      <c r="B7" t="s">
        <v>2</v>
      </c>
      <c r="C7" t="s">
        <v>294</v>
      </c>
      <c r="D7" t="s">
        <v>58</v>
      </c>
      <c r="H7" s="6" t="s">
        <v>72</v>
      </c>
      <c r="I7" s="6" t="s">
        <v>71</v>
      </c>
    </row>
    <row r="8" spans="2:9" x14ac:dyDescent="0.3">
      <c r="B8" t="s">
        <v>3</v>
      </c>
      <c r="C8" t="s">
        <v>55</v>
      </c>
      <c r="H8" t="s">
        <v>3</v>
      </c>
      <c r="I8" s="55" t="s">
        <v>68</v>
      </c>
    </row>
    <row r="9" spans="2:9" x14ac:dyDescent="0.3">
      <c r="B9" t="s">
        <v>4</v>
      </c>
      <c r="C9" t="s">
        <v>57</v>
      </c>
      <c r="D9" t="s">
        <v>58</v>
      </c>
      <c r="H9" t="s">
        <v>4</v>
      </c>
      <c r="I9" s="55"/>
    </row>
    <row r="10" spans="2:9" x14ac:dyDescent="0.3">
      <c r="B10" t="s">
        <v>5</v>
      </c>
      <c r="C10" t="s">
        <v>55</v>
      </c>
      <c r="H10" t="s">
        <v>5</v>
      </c>
      <c r="I10" s="55"/>
    </row>
    <row r="11" spans="2:9" x14ac:dyDescent="0.3">
      <c r="B11" t="s">
        <v>6</v>
      </c>
      <c r="C11" t="s">
        <v>55</v>
      </c>
      <c r="H11" t="s">
        <v>6</v>
      </c>
      <c r="I11" s="55"/>
    </row>
    <row r="12" spans="2:9" x14ac:dyDescent="0.3">
      <c r="B12" t="s">
        <v>7</v>
      </c>
      <c r="C12" t="s">
        <v>55</v>
      </c>
      <c r="H12" t="s">
        <v>7</v>
      </c>
      <c r="I12" s="55"/>
    </row>
    <row r="13" spans="2:9" x14ac:dyDescent="0.3">
      <c r="B13" t="s">
        <v>8</v>
      </c>
      <c r="C13" t="s">
        <v>55</v>
      </c>
      <c r="H13" t="s">
        <v>8</v>
      </c>
      <c r="I13" s="55"/>
    </row>
    <row r="14" spans="2:9" x14ac:dyDescent="0.3">
      <c r="B14" t="s">
        <v>9</v>
      </c>
      <c r="C14" t="s">
        <v>55</v>
      </c>
      <c r="H14" t="s">
        <v>9</v>
      </c>
      <c r="I14" s="55"/>
    </row>
    <row r="15" spans="2:9" x14ac:dyDescent="0.3">
      <c r="B15" t="s">
        <v>10</v>
      </c>
      <c r="C15" t="s">
        <v>55</v>
      </c>
      <c r="H15" t="s">
        <v>10</v>
      </c>
      <c r="I15" s="55"/>
    </row>
    <row r="16" spans="2:9" x14ac:dyDescent="0.3">
      <c r="B16" t="s">
        <v>11</v>
      </c>
      <c r="C16" t="s">
        <v>55</v>
      </c>
      <c r="H16" t="s">
        <v>11</v>
      </c>
      <c r="I16" s="55"/>
    </row>
    <row r="17" spans="2:9" x14ac:dyDescent="0.3">
      <c r="B17" t="s">
        <v>12</v>
      </c>
      <c r="C17" t="s">
        <v>55</v>
      </c>
      <c r="H17" t="s">
        <v>12</v>
      </c>
      <c r="I17" s="55"/>
    </row>
    <row r="18" spans="2:9" x14ac:dyDescent="0.3">
      <c r="B18" t="s">
        <v>13</v>
      </c>
      <c r="C18" t="s">
        <v>55</v>
      </c>
      <c r="H18" t="s">
        <v>13</v>
      </c>
      <c r="I18" s="55"/>
    </row>
    <row r="19" spans="2:9" x14ac:dyDescent="0.3">
      <c r="B19" t="s">
        <v>14</v>
      </c>
      <c r="C19" t="s">
        <v>57</v>
      </c>
      <c r="D19" t="s">
        <v>58</v>
      </c>
      <c r="H19" t="s">
        <v>14</v>
      </c>
      <c r="I19" s="55"/>
    </row>
    <row r="20" spans="2:9" ht="13.2" customHeight="1" x14ac:dyDescent="0.3">
      <c r="B20" t="s">
        <v>15</v>
      </c>
      <c r="C20" t="s">
        <v>55</v>
      </c>
      <c r="H20" t="s">
        <v>15</v>
      </c>
      <c r="I20" s="55"/>
    </row>
    <row r="21" spans="2:9" x14ac:dyDescent="0.3">
      <c r="B21" t="s">
        <v>16</v>
      </c>
      <c r="C21" t="s">
        <v>57</v>
      </c>
      <c r="D21" t="s">
        <v>58</v>
      </c>
      <c r="H21" t="s">
        <v>17</v>
      </c>
      <c r="I21" s="56" t="s">
        <v>69</v>
      </c>
    </row>
    <row r="22" spans="2:9" x14ac:dyDescent="0.3">
      <c r="B22" t="s">
        <v>17</v>
      </c>
      <c r="C22" t="s">
        <v>57</v>
      </c>
      <c r="D22" t="s">
        <v>58</v>
      </c>
      <c r="H22" t="s">
        <v>18</v>
      </c>
      <c r="I22" s="56"/>
    </row>
    <row r="23" spans="2:9" x14ac:dyDescent="0.3">
      <c r="B23" t="s">
        <v>18</v>
      </c>
      <c r="C23" t="s">
        <v>57</v>
      </c>
      <c r="D23" t="s">
        <v>58</v>
      </c>
      <c r="H23" t="s">
        <v>19</v>
      </c>
      <c r="I23" s="56"/>
    </row>
    <row r="24" spans="2:9" x14ac:dyDescent="0.3">
      <c r="B24" t="s">
        <v>19</v>
      </c>
      <c r="C24" t="s">
        <v>57</v>
      </c>
      <c r="D24" t="s">
        <v>58</v>
      </c>
      <c r="H24" t="s">
        <v>20</v>
      </c>
      <c r="I24" s="57" t="s">
        <v>67</v>
      </c>
    </row>
    <row r="25" spans="2:9" x14ac:dyDescent="0.3">
      <c r="B25" t="s">
        <v>20</v>
      </c>
      <c r="C25" t="s">
        <v>57</v>
      </c>
      <c r="D25" t="s">
        <v>58</v>
      </c>
      <c r="H25" t="s">
        <v>21</v>
      </c>
      <c r="I25" s="58"/>
    </row>
    <row r="26" spans="2:9" x14ac:dyDescent="0.3">
      <c r="B26" t="s">
        <v>21</v>
      </c>
      <c r="C26" t="s">
        <v>55</v>
      </c>
      <c r="H26" t="s">
        <v>22</v>
      </c>
      <c r="I26" s="58"/>
    </row>
    <row r="27" spans="2:9" x14ac:dyDescent="0.3">
      <c r="B27" t="s">
        <v>22</v>
      </c>
      <c r="C27" t="s">
        <v>57</v>
      </c>
      <c r="D27" t="s">
        <v>58</v>
      </c>
      <c r="H27" s="62" t="s">
        <v>23</v>
      </c>
      <c r="I27" s="62"/>
    </row>
    <row r="28" spans="2:9" x14ac:dyDescent="0.3">
      <c r="B28" t="s">
        <v>23</v>
      </c>
      <c r="C28" t="s">
        <v>55</v>
      </c>
      <c r="H28" s="60" t="s">
        <v>26</v>
      </c>
      <c r="I28" s="60"/>
    </row>
    <row r="29" spans="2:9" x14ac:dyDescent="0.3">
      <c r="B29" t="s">
        <v>24</v>
      </c>
      <c r="C29" t="s">
        <v>57</v>
      </c>
      <c r="D29" t="s">
        <v>58</v>
      </c>
      <c r="H29" s="63" t="s">
        <v>24</v>
      </c>
      <c r="I29" s="63"/>
    </row>
    <row r="30" spans="2:9" x14ac:dyDescent="0.3">
      <c r="B30" t="s">
        <v>25</v>
      </c>
      <c r="C30" t="s">
        <v>57</v>
      </c>
      <c r="D30" t="s">
        <v>58</v>
      </c>
      <c r="H30" t="s">
        <v>25</v>
      </c>
      <c r="I30" s="53" t="s">
        <v>70</v>
      </c>
    </row>
    <row r="31" spans="2:9" x14ac:dyDescent="0.3">
      <c r="B31" t="s">
        <v>26</v>
      </c>
      <c r="C31" t="s">
        <v>57</v>
      </c>
      <c r="D31" t="s">
        <v>58</v>
      </c>
      <c r="H31" t="s">
        <v>27</v>
      </c>
      <c r="I31" s="61"/>
    </row>
    <row r="32" spans="2:9" x14ac:dyDescent="0.3">
      <c r="B32" t="s">
        <v>27</v>
      </c>
      <c r="C32" t="s">
        <v>57</v>
      </c>
      <c r="D32" t="s">
        <v>58</v>
      </c>
      <c r="H32" t="s">
        <v>16</v>
      </c>
      <c r="I32" s="61"/>
    </row>
    <row r="33" spans="2:4" x14ac:dyDescent="0.3">
      <c r="B33" t="s">
        <v>28</v>
      </c>
      <c r="C33" t="s">
        <v>57</v>
      </c>
      <c r="D33" t="s">
        <v>58</v>
      </c>
    </row>
    <row r="34" spans="2:4" x14ac:dyDescent="0.3">
      <c r="B34" t="s">
        <v>29</v>
      </c>
      <c r="C34" t="s">
        <v>57</v>
      </c>
      <c r="D34" t="s">
        <v>58</v>
      </c>
    </row>
  </sheetData>
  <mergeCells count="7">
    <mergeCell ref="I8:I20"/>
    <mergeCell ref="I21:I23"/>
    <mergeCell ref="I24:I26"/>
    <mergeCell ref="I30:I32"/>
    <mergeCell ref="H27:I27"/>
    <mergeCell ref="H28:I28"/>
    <mergeCell ref="H29:I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89F8-3199-4951-9EE1-DBB59C17E69C}">
  <dimension ref="B3:AF372"/>
  <sheetViews>
    <sheetView zoomScale="54" zoomScaleNormal="98" workbookViewId="0">
      <pane xSplit="4" ySplit="3" topLeftCell="E327" activePane="bottomRight" state="frozen"/>
      <selection pane="topRight" activeCell="E1" sqref="E1"/>
      <selection pane="bottomLeft" activeCell="A4" sqref="A4"/>
      <selection pane="bottomRight" activeCell="E20" sqref="E20"/>
    </sheetView>
  </sheetViews>
  <sheetFormatPr defaultColWidth="19" defaultRowHeight="14.4" x14ac:dyDescent="0.3"/>
  <cols>
    <col min="5" max="5" width="30.33203125" style="40" customWidth="1"/>
    <col min="17" max="17" width="24.109375" customWidth="1"/>
    <col min="25" max="25" width="28.77734375" customWidth="1"/>
    <col min="27" max="27" width="30.33203125" customWidth="1"/>
    <col min="28" max="28" width="31.33203125" customWidth="1"/>
    <col min="29" max="29" width="13.77734375" customWidth="1"/>
    <col min="30" max="30" width="24.5546875" customWidth="1"/>
  </cols>
  <sheetData>
    <row r="3" spans="2:32" x14ac:dyDescent="0.3">
      <c r="B3" s="1" t="s">
        <v>0</v>
      </c>
      <c r="C3" s="1" t="s">
        <v>1</v>
      </c>
      <c r="D3" s="1" t="s">
        <v>2</v>
      </c>
      <c r="E3" s="42" t="s">
        <v>108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</row>
    <row r="4" spans="2:32" x14ac:dyDescent="0.3">
      <c r="B4" t="s">
        <v>30</v>
      </c>
      <c r="C4">
        <v>2013</v>
      </c>
      <c r="D4" t="s">
        <v>31</v>
      </c>
      <c r="E4" s="40">
        <v>41275</v>
      </c>
      <c r="F4">
        <v>107.5</v>
      </c>
      <c r="G4">
        <v>106.3</v>
      </c>
      <c r="H4">
        <v>108.1</v>
      </c>
      <c r="I4">
        <v>104.9</v>
      </c>
      <c r="J4">
        <v>106.1</v>
      </c>
      <c r="K4">
        <v>103.9</v>
      </c>
      <c r="L4">
        <v>101.9</v>
      </c>
      <c r="M4">
        <v>106.1</v>
      </c>
      <c r="N4">
        <v>106.8</v>
      </c>
      <c r="O4">
        <v>103.1</v>
      </c>
      <c r="P4">
        <v>104.8</v>
      </c>
      <c r="Q4">
        <v>106.7</v>
      </c>
      <c r="R4">
        <v>105.5</v>
      </c>
      <c r="S4">
        <v>105.1</v>
      </c>
      <c r="T4">
        <v>106.5</v>
      </c>
      <c r="U4">
        <v>105.8</v>
      </c>
      <c r="V4">
        <v>106.4</v>
      </c>
      <c r="W4">
        <v>100.3</v>
      </c>
      <c r="X4">
        <v>105.5</v>
      </c>
      <c r="Y4">
        <v>104.8</v>
      </c>
      <c r="Z4">
        <v>104</v>
      </c>
      <c r="AA4">
        <v>103.3</v>
      </c>
      <c r="AB4">
        <v>103.4</v>
      </c>
      <c r="AC4">
        <v>103.8</v>
      </c>
      <c r="AD4">
        <v>104.7</v>
      </c>
      <c r="AE4">
        <v>104</v>
      </c>
      <c r="AF4">
        <v>105.1</v>
      </c>
    </row>
    <row r="5" spans="2:32" x14ac:dyDescent="0.3">
      <c r="B5" t="s">
        <v>33</v>
      </c>
      <c r="C5">
        <v>2013</v>
      </c>
      <c r="D5" t="s">
        <v>31</v>
      </c>
      <c r="E5" s="40">
        <v>41275</v>
      </c>
      <c r="F5">
        <v>110.5</v>
      </c>
      <c r="G5">
        <v>109.1</v>
      </c>
      <c r="H5">
        <v>113</v>
      </c>
      <c r="I5">
        <v>103.6</v>
      </c>
      <c r="J5">
        <v>103.4</v>
      </c>
      <c r="K5">
        <v>102.3</v>
      </c>
      <c r="L5">
        <v>102.9</v>
      </c>
      <c r="M5">
        <v>105.8</v>
      </c>
      <c r="N5">
        <v>105.1</v>
      </c>
      <c r="O5">
        <v>101.8</v>
      </c>
      <c r="P5">
        <v>105.1</v>
      </c>
      <c r="Q5">
        <v>107.9</v>
      </c>
      <c r="R5">
        <v>105.9</v>
      </c>
      <c r="S5">
        <v>105.2</v>
      </c>
      <c r="T5">
        <v>105.9</v>
      </c>
      <c r="U5">
        <v>105</v>
      </c>
      <c r="V5">
        <v>105.8</v>
      </c>
      <c r="W5">
        <v>100.3</v>
      </c>
      <c r="X5">
        <v>105.4</v>
      </c>
      <c r="Y5">
        <v>104.8</v>
      </c>
      <c r="Z5">
        <v>104.1</v>
      </c>
      <c r="AA5">
        <v>103.2</v>
      </c>
      <c r="AB5">
        <v>102.9</v>
      </c>
      <c r="AC5">
        <v>103.5</v>
      </c>
      <c r="AD5">
        <v>104.3</v>
      </c>
      <c r="AE5">
        <v>103.7</v>
      </c>
      <c r="AF5">
        <v>104</v>
      </c>
    </row>
    <row r="6" spans="2:32" x14ac:dyDescent="0.3">
      <c r="B6" t="s">
        <v>34</v>
      </c>
      <c r="C6">
        <v>2013</v>
      </c>
      <c r="D6" t="s">
        <v>31</v>
      </c>
      <c r="E6" s="40">
        <v>41275</v>
      </c>
      <c r="F6">
        <v>108.4</v>
      </c>
      <c r="G6">
        <v>107.3</v>
      </c>
      <c r="H6">
        <v>110</v>
      </c>
      <c r="I6">
        <v>104.4</v>
      </c>
      <c r="J6">
        <v>105.1</v>
      </c>
      <c r="K6">
        <v>103.2</v>
      </c>
      <c r="L6">
        <v>102.2</v>
      </c>
      <c r="M6">
        <v>106</v>
      </c>
      <c r="N6">
        <v>106.2</v>
      </c>
      <c r="O6">
        <v>102.7</v>
      </c>
      <c r="P6">
        <v>104.9</v>
      </c>
      <c r="Q6">
        <v>107.3</v>
      </c>
      <c r="R6">
        <v>105.6</v>
      </c>
      <c r="S6">
        <v>105.1</v>
      </c>
      <c r="T6">
        <v>106.3</v>
      </c>
      <c r="U6">
        <v>105.5</v>
      </c>
      <c r="V6">
        <v>106.2</v>
      </c>
      <c r="W6">
        <v>100.3</v>
      </c>
      <c r="X6">
        <v>105.5</v>
      </c>
      <c r="Y6">
        <v>104.8</v>
      </c>
      <c r="Z6">
        <v>104</v>
      </c>
      <c r="AA6">
        <v>103.2</v>
      </c>
      <c r="AB6">
        <v>103.1</v>
      </c>
      <c r="AC6">
        <v>103.6</v>
      </c>
      <c r="AD6">
        <v>104.5</v>
      </c>
      <c r="AE6">
        <v>103.9</v>
      </c>
      <c r="AF6">
        <v>104.6</v>
      </c>
    </row>
    <row r="7" spans="2:32" x14ac:dyDescent="0.3">
      <c r="B7" t="s">
        <v>30</v>
      </c>
      <c r="C7">
        <v>2013</v>
      </c>
      <c r="D7" t="s">
        <v>35</v>
      </c>
      <c r="E7" s="40">
        <v>41306</v>
      </c>
      <c r="F7">
        <v>109.2</v>
      </c>
      <c r="G7">
        <v>108.7</v>
      </c>
      <c r="H7">
        <v>110.2</v>
      </c>
      <c r="I7">
        <v>105.4</v>
      </c>
      <c r="J7">
        <v>106.7</v>
      </c>
      <c r="K7">
        <v>104</v>
      </c>
      <c r="L7">
        <v>102.4</v>
      </c>
      <c r="M7">
        <v>105.9</v>
      </c>
      <c r="N7">
        <v>105.7</v>
      </c>
      <c r="O7">
        <v>103.1</v>
      </c>
      <c r="P7">
        <v>105.1</v>
      </c>
      <c r="Q7">
        <v>107.7</v>
      </c>
      <c r="R7">
        <v>106.3</v>
      </c>
      <c r="S7">
        <v>105.6</v>
      </c>
      <c r="T7">
        <v>107.1</v>
      </c>
      <c r="U7">
        <v>106.3</v>
      </c>
      <c r="V7">
        <v>107</v>
      </c>
      <c r="W7">
        <v>100.4</v>
      </c>
      <c r="X7">
        <v>106.2</v>
      </c>
      <c r="Y7">
        <v>105.2</v>
      </c>
      <c r="Z7">
        <v>104.4</v>
      </c>
      <c r="AA7">
        <v>103.9</v>
      </c>
      <c r="AB7">
        <v>104</v>
      </c>
      <c r="AC7">
        <v>104.1</v>
      </c>
      <c r="AD7">
        <v>104.6</v>
      </c>
      <c r="AE7">
        <v>104.4</v>
      </c>
      <c r="AF7">
        <v>105.8</v>
      </c>
    </row>
    <row r="8" spans="2:32" x14ac:dyDescent="0.3">
      <c r="B8" t="s">
        <v>33</v>
      </c>
      <c r="C8">
        <v>2013</v>
      </c>
      <c r="D8" t="s">
        <v>35</v>
      </c>
      <c r="E8" s="40" t="s">
        <v>210</v>
      </c>
      <c r="F8">
        <v>112.9</v>
      </c>
      <c r="G8">
        <v>112.9</v>
      </c>
      <c r="H8">
        <v>116.9</v>
      </c>
      <c r="I8">
        <v>104</v>
      </c>
      <c r="J8">
        <v>103.5</v>
      </c>
      <c r="K8">
        <v>103.1</v>
      </c>
      <c r="L8">
        <v>104.9</v>
      </c>
      <c r="M8">
        <v>104.1</v>
      </c>
      <c r="N8">
        <v>103.8</v>
      </c>
      <c r="O8">
        <v>102.3</v>
      </c>
      <c r="P8">
        <v>106</v>
      </c>
      <c r="Q8">
        <v>109</v>
      </c>
      <c r="R8">
        <v>107.2</v>
      </c>
      <c r="S8">
        <v>106</v>
      </c>
      <c r="T8">
        <v>106.6</v>
      </c>
      <c r="U8">
        <v>105.5</v>
      </c>
      <c r="V8">
        <v>106.4</v>
      </c>
      <c r="W8">
        <v>100.4</v>
      </c>
      <c r="X8">
        <v>105.7</v>
      </c>
      <c r="Y8">
        <v>105.2</v>
      </c>
      <c r="Z8">
        <v>104.7</v>
      </c>
      <c r="AA8">
        <v>104.4</v>
      </c>
      <c r="AB8">
        <v>103.3</v>
      </c>
      <c r="AC8">
        <v>103.7</v>
      </c>
      <c r="AD8">
        <v>104.3</v>
      </c>
      <c r="AE8">
        <v>104.3</v>
      </c>
      <c r="AF8">
        <v>104.7</v>
      </c>
    </row>
    <row r="9" spans="2:32" x14ac:dyDescent="0.3">
      <c r="B9" t="s">
        <v>34</v>
      </c>
      <c r="C9">
        <v>2013</v>
      </c>
      <c r="D9" t="s">
        <v>35</v>
      </c>
      <c r="E9" s="40" t="s">
        <v>210</v>
      </c>
      <c r="F9">
        <v>110.4</v>
      </c>
      <c r="G9">
        <v>110.2</v>
      </c>
      <c r="H9">
        <v>112.8</v>
      </c>
      <c r="I9">
        <v>104.9</v>
      </c>
      <c r="J9">
        <v>105.5</v>
      </c>
      <c r="K9">
        <v>103.6</v>
      </c>
      <c r="L9">
        <v>103.2</v>
      </c>
      <c r="M9">
        <v>105.3</v>
      </c>
      <c r="N9">
        <v>105.1</v>
      </c>
      <c r="O9">
        <v>102.8</v>
      </c>
      <c r="P9">
        <v>105.5</v>
      </c>
      <c r="Q9">
        <v>108.3</v>
      </c>
      <c r="R9">
        <v>106.6</v>
      </c>
      <c r="S9">
        <v>105.7</v>
      </c>
      <c r="T9">
        <v>106.9</v>
      </c>
      <c r="U9">
        <v>106</v>
      </c>
      <c r="V9">
        <v>106.8</v>
      </c>
      <c r="W9">
        <v>100.4</v>
      </c>
      <c r="X9">
        <v>106</v>
      </c>
      <c r="Y9">
        <v>105.2</v>
      </c>
      <c r="Z9">
        <v>104.5</v>
      </c>
      <c r="AA9">
        <v>104.2</v>
      </c>
      <c r="AB9">
        <v>103.6</v>
      </c>
      <c r="AC9">
        <v>103.9</v>
      </c>
      <c r="AD9">
        <v>104.5</v>
      </c>
      <c r="AE9">
        <v>104.4</v>
      </c>
      <c r="AF9">
        <v>105.3</v>
      </c>
    </row>
    <row r="10" spans="2:32" x14ac:dyDescent="0.3">
      <c r="B10" t="s">
        <v>30</v>
      </c>
      <c r="C10">
        <v>2013</v>
      </c>
      <c r="D10" t="s">
        <v>36</v>
      </c>
      <c r="E10" s="40" t="s">
        <v>211</v>
      </c>
      <c r="F10">
        <v>110.2</v>
      </c>
      <c r="G10">
        <v>108.8</v>
      </c>
      <c r="H10">
        <v>109.9</v>
      </c>
      <c r="I10">
        <v>105.6</v>
      </c>
      <c r="J10">
        <v>106.2</v>
      </c>
      <c r="K10">
        <v>105.7</v>
      </c>
      <c r="L10">
        <v>101.4</v>
      </c>
      <c r="M10">
        <v>105.7</v>
      </c>
      <c r="N10">
        <v>105</v>
      </c>
      <c r="O10">
        <v>103.3</v>
      </c>
      <c r="P10">
        <v>105.6</v>
      </c>
      <c r="Q10">
        <v>108.2</v>
      </c>
      <c r="R10">
        <v>106.6</v>
      </c>
      <c r="S10">
        <v>106.5</v>
      </c>
      <c r="T10">
        <v>107.6</v>
      </c>
      <c r="U10">
        <v>106.8</v>
      </c>
      <c r="V10">
        <v>107.5</v>
      </c>
      <c r="W10">
        <v>100.4</v>
      </c>
      <c r="X10">
        <v>106.1</v>
      </c>
      <c r="Y10">
        <v>105.6</v>
      </c>
      <c r="Z10">
        <v>104.7</v>
      </c>
      <c r="AA10">
        <v>104.6</v>
      </c>
      <c r="AB10">
        <v>104</v>
      </c>
      <c r="AC10">
        <v>104.3</v>
      </c>
      <c r="AD10">
        <v>104.3</v>
      </c>
      <c r="AE10">
        <v>104.6</v>
      </c>
      <c r="AF10">
        <v>106</v>
      </c>
    </row>
    <row r="11" spans="2:32" x14ac:dyDescent="0.3">
      <c r="B11" t="s">
        <v>33</v>
      </c>
      <c r="C11">
        <v>2013</v>
      </c>
      <c r="D11" t="s">
        <v>36</v>
      </c>
      <c r="E11" s="40" t="s">
        <v>211</v>
      </c>
      <c r="F11">
        <v>113.9</v>
      </c>
      <c r="G11">
        <v>111.4</v>
      </c>
      <c r="H11">
        <v>113.2</v>
      </c>
      <c r="I11">
        <v>104.3</v>
      </c>
      <c r="J11">
        <v>102.7</v>
      </c>
      <c r="K11">
        <v>104.9</v>
      </c>
      <c r="L11">
        <v>103.8</v>
      </c>
      <c r="M11">
        <v>103.5</v>
      </c>
      <c r="N11">
        <v>102.6</v>
      </c>
      <c r="O11">
        <v>102.4</v>
      </c>
      <c r="P11">
        <v>107</v>
      </c>
      <c r="Q11">
        <v>109.8</v>
      </c>
      <c r="R11">
        <v>107.3</v>
      </c>
      <c r="S11">
        <v>106.8</v>
      </c>
      <c r="T11">
        <v>107.2</v>
      </c>
      <c r="U11">
        <v>106</v>
      </c>
      <c r="V11">
        <v>107</v>
      </c>
      <c r="W11">
        <v>100.4</v>
      </c>
      <c r="X11">
        <v>106</v>
      </c>
      <c r="Y11">
        <v>105.7</v>
      </c>
      <c r="Z11">
        <v>105.2</v>
      </c>
      <c r="AA11">
        <v>105.5</v>
      </c>
      <c r="AB11">
        <v>103.5</v>
      </c>
      <c r="AC11">
        <v>103.8</v>
      </c>
      <c r="AD11">
        <v>104.2</v>
      </c>
      <c r="AE11">
        <v>104.9</v>
      </c>
      <c r="AF11">
        <v>105</v>
      </c>
    </row>
    <row r="12" spans="2:32" x14ac:dyDescent="0.3">
      <c r="B12" t="s">
        <v>34</v>
      </c>
      <c r="C12">
        <v>2013</v>
      </c>
      <c r="D12" t="s">
        <v>36</v>
      </c>
      <c r="E12" s="40" t="s">
        <v>211</v>
      </c>
      <c r="F12">
        <v>111.4</v>
      </c>
      <c r="G12">
        <v>109.7</v>
      </c>
      <c r="H12">
        <v>111.2</v>
      </c>
      <c r="I12">
        <v>105.1</v>
      </c>
      <c r="J12">
        <v>104.9</v>
      </c>
      <c r="K12">
        <v>105.3</v>
      </c>
      <c r="L12">
        <v>102.2</v>
      </c>
      <c r="M12">
        <v>105</v>
      </c>
      <c r="N12">
        <v>104.2</v>
      </c>
      <c r="O12">
        <v>103</v>
      </c>
      <c r="P12">
        <v>106.2</v>
      </c>
      <c r="Q12">
        <v>108.9</v>
      </c>
      <c r="R12">
        <v>106.9</v>
      </c>
      <c r="S12">
        <v>106.6</v>
      </c>
      <c r="T12">
        <v>107.4</v>
      </c>
      <c r="U12">
        <v>106.5</v>
      </c>
      <c r="V12">
        <v>107.3</v>
      </c>
      <c r="W12">
        <v>100.4</v>
      </c>
      <c r="X12">
        <v>106.1</v>
      </c>
      <c r="Y12">
        <v>105.6</v>
      </c>
      <c r="Z12">
        <v>104.9</v>
      </c>
      <c r="AA12">
        <v>105.1</v>
      </c>
      <c r="AB12">
        <v>103.7</v>
      </c>
      <c r="AC12">
        <v>104</v>
      </c>
      <c r="AD12">
        <v>104.3</v>
      </c>
      <c r="AE12">
        <v>104.7</v>
      </c>
      <c r="AF12">
        <v>105.5</v>
      </c>
    </row>
    <row r="13" spans="2:32" x14ac:dyDescent="0.3">
      <c r="B13" t="s">
        <v>30</v>
      </c>
      <c r="C13">
        <v>2013</v>
      </c>
      <c r="D13" t="s">
        <v>37</v>
      </c>
      <c r="E13" s="40" t="s">
        <v>212</v>
      </c>
      <c r="F13">
        <v>110.2</v>
      </c>
      <c r="G13">
        <v>109.5</v>
      </c>
      <c r="H13">
        <v>106.9</v>
      </c>
      <c r="I13">
        <v>106.3</v>
      </c>
      <c r="J13">
        <v>105.7</v>
      </c>
      <c r="K13">
        <v>108.3</v>
      </c>
      <c r="L13">
        <v>103.4</v>
      </c>
      <c r="M13">
        <v>105.7</v>
      </c>
      <c r="N13">
        <v>104.2</v>
      </c>
      <c r="O13">
        <v>103.2</v>
      </c>
      <c r="P13">
        <v>106.5</v>
      </c>
      <c r="Q13">
        <v>108.8</v>
      </c>
      <c r="R13">
        <v>107.1</v>
      </c>
      <c r="S13">
        <v>107.1</v>
      </c>
      <c r="T13">
        <v>108.1</v>
      </c>
      <c r="U13">
        <v>107.4</v>
      </c>
      <c r="V13">
        <v>108</v>
      </c>
      <c r="W13">
        <v>100.5</v>
      </c>
      <c r="X13">
        <v>106.5</v>
      </c>
      <c r="Y13">
        <v>106.1</v>
      </c>
      <c r="Z13">
        <v>105.1</v>
      </c>
      <c r="AA13">
        <v>104.4</v>
      </c>
      <c r="AB13">
        <v>104.5</v>
      </c>
      <c r="AC13">
        <v>104.8</v>
      </c>
      <c r="AD13">
        <v>102.7</v>
      </c>
      <c r="AE13">
        <v>104.6</v>
      </c>
      <c r="AF13">
        <v>106.4</v>
      </c>
    </row>
    <row r="14" spans="2:32" x14ac:dyDescent="0.3">
      <c r="B14" t="s">
        <v>33</v>
      </c>
      <c r="C14">
        <v>2013</v>
      </c>
      <c r="D14" t="s">
        <v>37</v>
      </c>
      <c r="E14" s="40" t="s">
        <v>212</v>
      </c>
      <c r="F14">
        <v>114.6</v>
      </c>
      <c r="G14">
        <v>113.4</v>
      </c>
      <c r="H14">
        <v>106</v>
      </c>
      <c r="I14">
        <v>104.7</v>
      </c>
      <c r="J14">
        <v>102.1</v>
      </c>
      <c r="K14">
        <v>109.5</v>
      </c>
      <c r="L14">
        <v>109.7</v>
      </c>
      <c r="M14">
        <v>104.6</v>
      </c>
      <c r="N14">
        <v>102</v>
      </c>
      <c r="O14">
        <v>103.5</v>
      </c>
      <c r="P14">
        <v>108.2</v>
      </c>
      <c r="Q14">
        <v>110.6</v>
      </c>
      <c r="R14">
        <v>108.8</v>
      </c>
      <c r="S14">
        <v>108.5</v>
      </c>
      <c r="T14">
        <v>107.9</v>
      </c>
      <c r="U14">
        <v>106.4</v>
      </c>
      <c r="V14">
        <v>107.7</v>
      </c>
      <c r="W14">
        <v>100.5</v>
      </c>
      <c r="X14">
        <v>106.4</v>
      </c>
      <c r="Y14">
        <v>106.5</v>
      </c>
      <c r="Z14">
        <v>105.7</v>
      </c>
      <c r="AA14">
        <v>105</v>
      </c>
      <c r="AB14">
        <v>104</v>
      </c>
      <c r="AC14">
        <v>105.2</v>
      </c>
      <c r="AD14">
        <v>103.2</v>
      </c>
      <c r="AE14">
        <v>105.1</v>
      </c>
      <c r="AF14">
        <v>105.7</v>
      </c>
    </row>
    <row r="15" spans="2:32" x14ac:dyDescent="0.3">
      <c r="B15" t="s">
        <v>34</v>
      </c>
      <c r="C15">
        <v>2013</v>
      </c>
      <c r="D15" t="s">
        <v>37</v>
      </c>
      <c r="E15" s="40" t="s">
        <v>212</v>
      </c>
      <c r="F15">
        <v>111.6</v>
      </c>
      <c r="G15">
        <v>110.9</v>
      </c>
      <c r="H15">
        <v>106.6</v>
      </c>
      <c r="I15">
        <v>105.7</v>
      </c>
      <c r="J15">
        <v>104.4</v>
      </c>
      <c r="K15">
        <v>108.9</v>
      </c>
      <c r="L15">
        <v>105.5</v>
      </c>
      <c r="M15">
        <v>105.3</v>
      </c>
      <c r="N15">
        <v>103.5</v>
      </c>
      <c r="O15">
        <v>103.3</v>
      </c>
      <c r="P15">
        <v>107.2</v>
      </c>
      <c r="Q15">
        <v>109.6</v>
      </c>
      <c r="R15">
        <v>107.7</v>
      </c>
      <c r="S15">
        <v>107.5</v>
      </c>
      <c r="T15">
        <v>108</v>
      </c>
      <c r="U15">
        <v>107</v>
      </c>
      <c r="V15">
        <v>107.9</v>
      </c>
      <c r="W15">
        <v>100.5</v>
      </c>
      <c r="X15">
        <v>106.5</v>
      </c>
      <c r="Y15">
        <v>106.3</v>
      </c>
      <c r="Z15">
        <v>105.3</v>
      </c>
      <c r="AA15">
        <v>104.7</v>
      </c>
      <c r="AB15">
        <v>104.2</v>
      </c>
      <c r="AC15">
        <v>105</v>
      </c>
      <c r="AD15">
        <v>102.9</v>
      </c>
      <c r="AE15">
        <v>104.8</v>
      </c>
      <c r="AF15">
        <v>106.1</v>
      </c>
    </row>
    <row r="16" spans="2:32" x14ac:dyDescent="0.3">
      <c r="B16" t="s">
        <v>30</v>
      </c>
      <c r="C16">
        <v>2013</v>
      </c>
      <c r="D16" t="s">
        <v>38</v>
      </c>
      <c r="E16" s="40" t="s">
        <v>213</v>
      </c>
      <c r="F16">
        <v>110.9</v>
      </c>
      <c r="G16">
        <v>109.8</v>
      </c>
      <c r="H16">
        <v>105.9</v>
      </c>
      <c r="I16">
        <v>107.5</v>
      </c>
      <c r="J16">
        <v>105.3</v>
      </c>
      <c r="K16">
        <v>108.1</v>
      </c>
      <c r="L16">
        <v>107.3</v>
      </c>
      <c r="M16">
        <v>106.1</v>
      </c>
      <c r="N16">
        <v>103.7</v>
      </c>
      <c r="O16">
        <v>104</v>
      </c>
      <c r="P16">
        <v>107.4</v>
      </c>
      <c r="Q16">
        <v>109.9</v>
      </c>
      <c r="R16">
        <v>108.1</v>
      </c>
      <c r="S16">
        <v>108.1</v>
      </c>
      <c r="T16">
        <v>108.8</v>
      </c>
      <c r="U16">
        <v>107.9</v>
      </c>
      <c r="V16">
        <v>108.6</v>
      </c>
      <c r="W16">
        <v>100.5</v>
      </c>
      <c r="X16">
        <v>107.5</v>
      </c>
      <c r="Y16">
        <v>106.8</v>
      </c>
      <c r="Z16">
        <v>105.7</v>
      </c>
      <c r="AA16">
        <v>104.1</v>
      </c>
      <c r="AB16">
        <v>105</v>
      </c>
      <c r="AC16">
        <v>105.5</v>
      </c>
      <c r="AD16">
        <v>102.1</v>
      </c>
      <c r="AE16">
        <v>104.8</v>
      </c>
      <c r="AF16">
        <v>107.2</v>
      </c>
    </row>
    <row r="17" spans="2:32" x14ac:dyDescent="0.3">
      <c r="B17" t="s">
        <v>33</v>
      </c>
      <c r="C17">
        <v>2013</v>
      </c>
      <c r="D17" t="s">
        <v>38</v>
      </c>
      <c r="E17" s="40" t="s">
        <v>213</v>
      </c>
      <c r="F17">
        <v>115.4</v>
      </c>
      <c r="G17">
        <v>114.2</v>
      </c>
      <c r="H17">
        <v>102.7</v>
      </c>
      <c r="I17">
        <v>105.5</v>
      </c>
      <c r="J17">
        <v>101.5</v>
      </c>
      <c r="K17">
        <v>110.6</v>
      </c>
      <c r="L17">
        <v>123.7</v>
      </c>
      <c r="M17">
        <v>105.2</v>
      </c>
      <c r="N17">
        <v>101.9</v>
      </c>
      <c r="O17">
        <v>105</v>
      </c>
      <c r="P17">
        <v>109.1</v>
      </c>
      <c r="Q17">
        <v>111.3</v>
      </c>
      <c r="R17">
        <v>111.1</v>
      </c>
      <c r="S17">
        <v>109.8</v>
      </c>
      <c r="T17">
        <v>108.5</v>
      </c>
      <c r="U17">
        <v>106.7</v>
      </c>
      <c r="V17">
        <v>108.3</v>
      </c>
      <c r="W17">
        <v>100.5</v>
      </c>
      <c r="X17">
        <v>107.2</v>
      </c>
      <c r="Y17">
        <v>107.1</v>
      </c>
      <c r="Z17">
        <v>106.2</v>
      </c>
      <c r="AA17">
        <v>103.9</v>
      </c>
      <c r="AB17">
        <v>104.6</v>
      </c>
      <c r="AC17">
        <v>105.7</v>
      </c>
      <c r="AD17">
        <v>102.6</v>
      </c>
      <c r="AE17">
        <v>104.9</v>
      </c>
      <c r="AF17">
        <v>106.6</v>
      </c>
    </row>
    <row r="18" spans="2:32" x14ac:dyDescent="0.3">
      <c r="B18" t="s">
        <v>34</v>
      </c>
      <c r="C18">
        <v>2013</v>
      </c>
      <c r="D18" t="s">
        <v>38</v>
      </c>
      <c r="E18" s="40" t="s">
        <v>213</v>
      </c>
      <c r="F18">
        <v>112.3</v>
      </c>
      <c r="G18">
        <v>111.3</v>
      </c>
      <c r="H18">
        <v>104.7</v>
      </c>
      <c r="I18">
        <v>106.8</v>
      </c>
      <c r="J18">
        <v>103.9</v>
      </c>
      <c r="K18">
        <v>109.3</v>
      </c>
      <c r="L18">
        <v>112.9</v>
      </c>
      <c r="M18">
        <v>105.8</v>
      </c>
      <c r="N18">
        <v>103.1</v>
      </c>
      <c r="O18">
        <v>104.3</v>
      </c>
      <c r="P18">
        <v>108.1</v>
      </c>
      <c r="Q18">
        <v>110.5</v>
      </c>
      <c r="R18">
        <v>109.2</v>
      </c>
      <c r="S18">
        <v>108.6</v>
      </c>
      <c r="T18">
        <v>108.7</v>
      </c>
      <c r="U18">
        <v>107.4</v>
      </c>
      <c r="V18">
        <v>108.5</v>
      </c>
      <c r="W18">
        <v>100.5</v>
      </c>
      <c r="X18">
        <v>107.4</v>
      </c>
      <c r="Y18">
        <v>106.9</v>
      </c>
      <c r="Z18">
        <v>105.9</v>
      </c>
      <c r="AA18">
        <v>104</v>
      </c>
      <c r="AB18">
        <v>104.8</v>
      </c>
      <c r="AC18">
        <v>105.6</v>
      </c>
      <c r="AD18">
        <v>102.3</v>
      </c>
      <c r="AE18">
        <v>104.8</v>
      </c>
      <c r="AF18">
        <v>106.9</v>
      </c>
    </row>
    <row r="19" spans="2:32" x14ac:dyDescent="0.3">
      <c r="B19" t="s">
        <v>30</v>
      </c>
      <c r="C19">
        <v>2013</v>
      </c>
      <c r="D19" t="s">
        <v>39</v>
      </c>
      <c r="E19" s="40" t="s">
        <v>214</v>
      </c>
      <c r="F19">
        <v>112.3</v>
      </c>
      <c r="G19">
        <v>112.1</v>
      </c>
      <c r="H19">
        <v>108.1</v>
      </c>
      <c r="I19">
        <v>108.3</v>
      </c>
      <c r="J19">
        <v>105.9</v>
      </c>
      <c r="K19">
        <v>109.2</v>
      </c>
      <c r="L19">
        <v>118</v>
      </c>
      <c r="M19">
        <v>106.8</v>
      </c>
      <c r="N19">
        <v>104.1</v>
      </c>
      <c r="O19">
        <v>105.4</v>
      </c>
      <c r="P19">
        <v>108.2</v>
      </c>
      <c r="Q19">
        <v>111</v>
      </c>
      <c r="R19">
        <v>110.6</v>
      </c>
      <c r="S19">
        <v>109</v>
      </c>
      <c r="T19">
        <v>109.7</v>
      </c>
      <c r="U19">
        <v>108.8</v>
      </c>
      <c r="V19">
        <v>109.5</v>
      </c>
      <c r="W19">
        <v>106.6</v>
      </c>
      <c r="X19">
        <v>108.5</v>
      </c>
      <c r="Y19">
        <v>107.5</v>
      </c>
      <c r="Z19">
        <v>106.3</v>
      </c>
      <c r="AA19">
        <v>105</v>
      </c>
      <c r="AB19">
        <v>105.6</v>
      </c>
      <c r="AC19">
        <v>106.5</v>
      </c>
      <c r="AD19">
        <v>102.5</v>
      </c>
      <c r="AE19">
        <v>105.5</v>
      </c>
      <c r="AF19">
        <v>108.9</v>
      </c>
    </row>
    <row r="20" spans="2:32" x14ac:dyDescent="0.3">
      <c r="B20" t="s">
        <v>33</v>
      </c>
      <c r="C20">
        <v>2013</v>
      </c>
      <c r="D20" t="s">
        <v>39</v>
      </c>
      <c r="E20" s="40" t="s">
        <v>214</v>
      </c>
      <c r="F20">
        <v>117</v>
      </c>
      <c r="G20">
        <v>120.1</v>
      </c>
      <c r="H20">
        <v>112.5</v>
      </c>
      <c r="I20">
        <v>107.3</v>
      </c>
      <c r="J20">
        <v>101.3</v>
      </c>
      <c r="K20">
        <v>112.4</v>
      </c>
      <c r="L20">
        <v>143.6</v>
      </c>
      <c r="M20">
        <v>105.4</v>
      </c>
      <c r="N20">
        <v>101.4</v>
      </c>
      <c r="O20">
        <v>106.4</v>
      </c>
      <c r="P20">
        <v>110</v>
      </c>
      <c r="Q20">
        <v>112.2</v>
      </c>
      <c r="R20">
        <v>115</v>
      </c>
      <c r="S20">
        <v>110.9</v>
      </c>
      <c r="T20">
        <v>109.2</v>
      </c>
      <c r="U20">
        <v>107.2</v>
      </c>
      <c r="V20">
        <v>108.9</v>
      </c>
      <c r="W20">
        <v>106.6</v>
      </c>
      <c r="X20">
        <v>108</v>
      </c>
      <c r="Y20">
        <v>107.7</v>
      </c>
      <c r="Z20">
        <v>106.5</v>
      </c>
      <c r="AA20">
        <v>105.2</v>
      </c>
      <c r="AB20">
        <v>105.2</v>
      </c>
      <c r="AC20">
        <v>108.1</v>
      </c>
      <c r="AD20">
        <v>103.3</v>
      </c>
      <c r="AE20">
        <v>106.1</v>
      </c>
      <c r="AF20">
        <v>109.7</v>
      </c>
    </row>
    <row r="21" spans="2:32" x14ac:dyDescent="0.3">
      <c r="B21" t="s">
        <v>34</v>
      </c>
      <c r="C21">
        <v>2013</v>
      </c>
      <c r="D21" t="s">
        <v>39</v>
      </c>
      <c r="E21" s="40" t="s">
        <v>214</v>
      </c>
      <c r="F21">
        <v>113.8</v>
      </c>
      <c r="G21">
        <v>114.9</v>
      </c>
      <c r="H21">
        <v>109.8</v>
      </c>
      <c r="I21">
        <v>107.9</v>
      </c>
      <c r="J21">
        <v>104.2</v>
      </c>
      <c r="K21">
        <v>110.7</v>
      </c>
      <c r="L21">
        <v>126.7</v>
      </c>
      <c r="M21">
        <v>106.3</v>
      </c>
      <c r="N21">
        <v>103.2</v>
      </c>
      <c r="O21">
        <v>105.7</v>
      </c>
      <c r="P21">
        <v>109</v>
      </c>
      <c r="Q21">
        <v>111.6</v>
      </c>
      <c r="R21">
        <v>112.2</v>
      </c>
      <c r="S21">
        <v>109.5</v>
      </c>
      <c r="T21">
        <v>109.5</v>
      </c>
      <c r="U21">
        <v>108.1</v>
      </c>
      <c r="V21">
        <v>109.3</v>
      </c>
      <c r="W21">
        <v>106.6</v>
      </c>
      <c r="X21">
        <v>108.3</v>
      </c>
      <c r="Y21">
        <v>107.6</v>
      </c>
      <c r="Z21">
        <v>106.4</v>
      </c>
      <c r="AA21">
        <v>105.1</v>
      </c>
      <c r="AB21">
        <v>105.4</v>
      </c>
      <c r="AC21">
        <v>107.4</v>
      </c>
      <c r="AD21">
        <v>102.8</v>
      </c>
      <c r="AE21">
        <v>105.8</v>
      </c>
      <c r="AF21">
        <v>109.3</v>
      </c>
    </row>
    <row r="22" spans="2:32" x14ac:dyDescent="0.3">
      <c r="B22" t="s">
        <v>30</v>
      </c>
      <c r="C22">
        <v>2013</v>
      </c>
      <c r="D22" t="s">
        <v>40</v>
      </c>
      <c r="E22" s="40" t="s">
        <v>215</v>
      </c>
      <c r="F22">
        <v>113.4</v>
      </c>
      <c r="G22">
        <v>114.9</v>
      </c>
      <c r="H22">
        <v>110.5</v>
      </c>
      <c r="I22">
        <v>109.3</v>
      </c>
      <c r="J22">
        <v>106.2</v>
      </c>
      <c r="K22">
        <v>110.3</v>
      </c>
      <c r="L22">
        <v>129.19999999999999</v>
      </c>
      <c r="M22">
        <v>107.1</v>
      </c>
      <c r="N22">
        <v>104.3</v>
      </c>
      <c r="O22">
        <v>106.4</v>
      </c>
      <c r="P22">
        <v>109.1</v>
      </c>
      <c r="Q22">
        <v>112.1</v>
      </c>
      <c r="R22">
        <v>113.1</v>
      </c>
      <c r="S22">
        <v>109.8</v>
      </c>
      <c r="T22">
        <v>110.5</v>
      </c>
      <c r="U22">
        <v>109.5</v>
      </c>
      <c r="V22">
        <v>110.3</v>
      </c>
      <c r="W22">
        <v>107.7</v>
      </c>
      <c r="X22">
        <v>109.5</v>
      </c>
      <c r="Y22">
        <v>108.3</v>
      </c>
      <c r="Z22">
        <v>106.9</v>
      </c>
      <c r="AA22">
        <v>106.8</v>
      </c>
      <c r="AB22">
        <v>106.4</v>
      </c>
      <c r="AC22">
        <v>107.8</v>
      </c>
      <c r="AD22">
        <v>102.5</v>
      </c>
      <c r="AE22">
        <v>106.5</v>
      </c>
      <c r="AF22">
        <v>110.7</v>
      </c>
    </row>
    <row r="23" spans="2:32" x14ac:dyDescent="0.3">
      <c r="B23" t="s">
        <v>33</v>
      </c>
      <c r="C23">
        <v>2013</v>
      </c>
      <c r="D23" t="s">
        <v>40</v>
      </c>
      <c r="E23" s="40" t="s">
        <v>215</v>
      </c>
      <c r="F23">
        <v>117.8</v>
      </c>
      <c r="G23">
        <v>119.2</v>
      </c>
      <c r="H23">
        <v>114</v>
      </c>
      <c r="I23">
        <v>108.3</v>
      </c>
      <c r="J23">
        <v>101.1</v>
      </c>
      <c r="K23">
        <v>113.2</v>
      </c>
      <c r="L23">
        <v>160.9</v>
      </c>
      <c r="M23">
        <v>105.1</v>
      </c>
      <c r="N23">
        <v>101.3</v>
      </c>
      <c r="O23">
        <v>107.5</v>
      </c>
      <c r="P23">
        <v>110.4</v>
      </c>
      <c r="Q23">
        <v>113.1</v>
      </c>
      <c r="R23">
        <v>117.5</v>
      </c>
      <c r="S23">
        <v>111.7</v>
      </c>
      <c r="T23">
        <v>109.8</v>
      </c>
      <c r="U23">
        <v>107.8</v>
      </c>
      <c r="V23">
        <v>109.5</v>
      </c>
      <c r="W23">
        <v>107.7</v>
      </c>
      <c r="X23">
        <v>108.6</v>
      </c>
      <c r="Y23">
        <v>108.1</v>
      </c>
      <c r="Z23">
        <v>107.1</v>
      </c>
      <c r="AA23">
        <v>107.3</v>
      </c>
      <c r="AB23">
        <v>105.9</v>
      </c>
      <c r="AC23">
        <v>110.1</v>
      </c>
      <c r="AD23">
        <v>103.2</v>
      </c>
      <c r="AE23">
        <v>107.3</v>
      </c>
      <c r="AF23">
        <v>111.4</v>
      </c>
    </row>
    <row r="24" spans="2:32" x14ac:dyDescent="0.3">
      <c r="B24" t="s">
        <v>34</v>
      </c>
      <c r="C24">
        <v>2013</v>
      </c>
      <c r="D24" t="s">
        <v>40</v>
      </c>
      <c r="E24" s="40" t="s">
        <v>215</v>
      </c>
      <c r="F24">
        <v>114.8</v>
      </c>
      <c r="G24">
        <v>116.4</v>
      </c>
      <c r="H24">
        <v>111.9</v>
      </c>
      <c r="I24">
        <v>108.9</v>
      </c>
      <c r="J24">
        <v>104.3</v>
      </c>
      <c r="K24">
        <v>111.7</v>
      </c>
      <c r="L24">
        <v>140</v>
      </c>
      <c r="M24">
        <v>106.4</v>
      </c>
      <c r="N24">
        <v>103.3</v>
      </c>
      <c r="O24">
        <v>106.8</v>
      </c>
      <c r="P24">
        <v>109.6</v>
      </c>
      <c r="Q24">
        <v>112.6</v>
      </c>
      <c r="R24">
        <v>114.7</v>
      </c>
      <c r="S24">
        <v>110.3</v>
      </c>
      <c r="T24">
        <v>110.2</v>
      </c>
      <c r="U24">
        <v>108.8</v>
      </c>
      <c r="V24">
        <v>110</v>
      </c>
      <c r="W24">
        <v>107.7</v>
      </c>
      <c r="X24">
        <v>109.2</v>
      </c>
      <c r="Y24">
        <v>108.2</v>
      </c>
      <c r="Z24">
        <v>107</v>
      </c>
      <c r="AA24">
        <v>107.1</v>
      </c>
      <c r="AB24">
        <v>106.1</v>
      </c>
      <c r="AC24">
        <v>109.1</v>
      </c>
      <c r="AD24">
        <v>102.8</v>
      </c>
      <c r="AE24">
        <v>106.9</v>
      </c>
      <c r="AF24">
        <v>111</v>
      </c>
    </row>
    <row r="25" spans="2:32" x14ac:dyDescent="0.3">
      <c r="B25" t="s">
        <v>30</v>
      </c>
      <c r="C25">
        <v>2013</v>
      </c>
      <c r="D25" t="s">
        <v>41</v>
      </c>
      <c r="E25" s="40" t="s">
        <v>216</v>
      </c>
      <c r="F25">
        <v>114.3</v>
      </c>
      <c r="G25">
        <v>115.4</v>
      </c>
      <c r="H25">
        <v>111.1</v>
      </c>
      <c r="I25">
        <v>110</v>
      </c>
      <c r="J25">
        <v>106.4</v>
      </c>
      <c r="K25">
        <v>110.8</v>
      </c>
      <c r="L25">
        <v>138.9</v>
      </c>
      <c r="M25">
        <v>107.4</v>
      </c>
      <c r="N25">
        <v>104.1</v>
      </c>
      <c r="O25">
        <v>106.9</v>
      </c>
      <c r="P25">
        <v>109.7</v>
      </c>
      <c r="Q25">
        <v>112.6</v>
      </c>
      <c r="R25">
        <v>114.9</v>
      </c>
      <c r="S25">
        <v>110.7</v>
      </c>
      <c r="T25">
        <v>111.3</v>
      </c>
      <c r="U25">
        <v>110.2</v>
      </c>
      <c r="V25">
        <v>111.1</v>
      </c>
      <c r="W25">
        <v>108.9</v>
      </c>
      <c r="X25">
        <v>109.9</v>
      </c>
      <c r="Y25">
        <v>108.7</v>
      </c>
      <c r="Z25">
        <v>107.5</v>
      </c>
      <c r="AA25">
        <v>107.8</v>
      </c>
      <c r="AB25">
        <v>106.8</v>
      </c>
      <c r="AC25">
        <v>108.7</v>
      </c>
      <c r="AD25">
        <v>105</v>
      </c>
      <c r="AE25">
        <v>107.5</v>
      </c>
      <c r="AF25">
        <v>112.1</v>
      </c>
    </row>
    <row r="26" spans="2:32" x14ac:dyDescent="0.3">
      <c r="B26" t="s">
        <v>33</v>
      </c>
      <c r="C26">
        <v>2013</v>
      </c>
      <c r="D26" t="s">
        <v>41</v>
      </c>
      <c r="E26" s="40" t="s">
        <v>216</v>
      </c>
      <c r="F26">
        <v>118.3</v>
      </c>
      <c r="G26">
        <v>120.4</v>
      </c>
      <c r="H26">
        <v>112.7</v>
      </c>
      <c r="I26">
        <v>108.9</v>
      </c>
      <c r="J26">
        <v>101.1</v>
      </c>
      <c r="K26">
        <v>108.7</v>
      </c>
      <c r="L26">
        <v>177</v>
      </c>
      <c r="M26">
        <v>104.7</v>
      </c>
      <c r="N26">
        <v>101</v>
      </c>
      <c r="O26">
        <v>108.5</v>
      </c>
      <c r="P26">
        <v>110.9</v>
      </c>
      <c r="Q26">
        <v>114.3</v>
      </c>
      <c r="R26">
        <v>119.6</v>
      </c>
      <c r="S26">
        <v>112.4</v>
      </c>
      <c r="T26">
        <v>110.6</v>
      </c>
      <c r="U26">
        <v>108.3</v>
      </c>
      <c r="V26">
        <v>110.2</v>
      </c>
      <c r="W26">
        <v>108.9</v>
      </c>
      <c r="X26">
        <v>109.3</v>
      </c>
      <c r="Y26">
        <v>108.7</v>
      </c>
      <c r="Z26">
        <v>107.6</v>
      </c>
      <c r="AA26">
        <v>108.1</v>
      </c>
      <c r="AB26">
        <v>106.5</v>
      </c>
      <c r="AC26">
        <v>110.8</v>
      </c>
      <c r="AD26">
        <v>106</v>
      </c>
      <c r="AE26">
        <v>108.3</v>
      </c>
      <c r="AF26">
        <v>112.7</v>
      </c>
    </row>
    <row r="27" spans="2:32" x14ac:dyDescent="0.3">
      <c r="B27" t="s">
        <v>34</v>
      </c>
      <c r="C27">
        <v>2013</v>
      </c>
      <c r="D27" t="s">
        <v>41</v>
      </c>
      <c r="E27" s="40" t="s">
        <v>216</v>
      </c>
      <c r="F27">
        <v>115.6</v>
      </c>
      <c r="G27">
        <v>117.2</v>
      </c>
      <c r="H27">
        <v>111.7</v>
      </c>
      <c r="I27">
        <v>109.6</v>
      </c>
      <c r="J27">
        <v>104.5</v>
      </c>
      <c r="K27">
        <v>109.8</v>
      </c>
      <c r="L27">
        <v>151.80000000000001</v>
      </c>
      <c r="M27">
        <v>106.5</v>
      </c>
      <c r="N27">
        <v>103.1</v>
      </c>
      <c r="O27">
        <v>107.4</v>
      </c>
      <c r="P27">
        <v>110.2</v>
      </c>
      <c r="Q27">
        <v>113.4</v>
      </c>
      <c r="R27">
        <v>116.6</v>
      </c>
      <c r="S27">
        <v>111.2</v>
      </c>
      <c r="T27">
        <v>111</v>
      </c>
      <c r="U27">
        <v>109.4</v>
      </c>
      <c r="V27">
        <v>110.7</v>
      </c>
      <c r="W27">
        <v>108.9</v>
      </c>
      <c r="X27">
        <v>109.7</v>
      </c>
      <c r="Y27">
        <v>108.7</v>
      </c>
      <c r="Z27">
        <v>107.5</v>
      </c>
      <c r="AA27">
        <v>108</v>
      </c>
      <c r="AB27">
        <v>106.6</v>
      </c>
      <c r="AC27">
        <v>109.9</v>
      </c>
      <c r="AD27">
        <v>105.4</v>
      </c>
      <c r="AE27">
        <v>107.9</v>
      </c>
      <c r="AF27">
        <v>112.4</v>
      </c>
    </row>
    <row r="28" spans="2:32" x14ac:dyDescent="0.3">
      <c r="B28" t="s">
        <v>30</v>
      </c>
      <c r="C28">
        <v>2013</v>
      </c>
      <c r="D28" t="s">
        <v>42</v>
      </c>
      <c r="E28" s="40" t="s">
        <v>217</v>
      </c>
      <c r="F28">
        <v>115.4</v>
      </c>
      <c r="G28">
        <v>115.7</v>
      </c>
      <c r="H28">
        <v>111.7</v>
      </c>
      <c r="I28">
        <v>111</v>
      </c>
      <c r="J28">
        <v>107.4</v>
      </c>
      <c r="K28">
        <v>110.9</v>
      </c>
      <c r="L28">
        <v>154</v>
      </c>
      <c r="M28">
        <v>108.1</v>
      </c>
      <c r="N28">
        <v>104.2</v>
      </c>
      <c r="O28">
        <v>107.9</v>
      </c>
      <c r="P28">
        <v>110.4</v>
      </c>
      <c r="Q28">
        <v>114</v>
      </c>
      <c r="R28">
        <v>117.8</v>
      </c>
      <c r="S28">
        <v>111.7</v>
      </c>
      <c r="T28">
        <v>112.7</v>
      </c>
      <c r="U28">
        <v>111.4</v>
      </c>
      <c r="V28">
        <v>112.5</v>
      </c>
      <c r="W28">
        <v>109.7</v>
      </c>
      <c r="X28">
        <v>111.1</v>
      </c>
      <c r="Y28">
        <v>109.6</v>
      </c>
      <c r="Z28">
        <v>108.3</v>
      </c>
      <c r="AA28">
        <v>109.3</v>
      </c>
      <c r="AB28">
        <v>107.7</v>
      </c>
      <c r="AC28">
        <v>109.8</v>
      </c>
      <c r="AD28">
        <v>106.7</v>
      </c>
      <c r="AE28">
        <v>108.7</v>
      </c>
      <c r="AF28">
        <v>114.2</v>
      </c>
    </row>
    <row r="29" spans="2:32" x14ac:dyDescent="0.3">
      <c r="B29" t="s">
        <v>33</v>
      </c>
      <c r="C29">
        <v>2013</v>
      </c>
      <c r="D29" t="s">
        <v>42</v>
      </c>
      <c r="E29" s="40" t="s">
        <v>217</v>
      </c>
      <c r="F29">
        <v>118.6</v>
      </c>
      <c r="G29">
        <v>119.1</v>
      </c>
      <c r="H29">
        <v>113.2</v>
      </c>
      <c r="I29">
        <v>109.6</v>
      </c>
      <c r="J29">
        <v>101.7</v>
      </c>
      <c r="K29">
        <v>103.2</v>
      </c>
      <c r="L29">
        <v>174.3</v>
      </c>
      <c r="M29">
        <v>105.1</v>
      </c>
      <c r="N29">
        <v>100.8</v>
      </c>
      <c r="O29">
        <v>109.1</v>
      </c>
      <c r="P29">
        <v>111.1</v>
      </c>
      <c r="Q29">
        <v>115.4</v>
      </c>
      <c r="R29">
        <v>119.2</v>
      </c>
      <c r="S29">
        <v>112.9</v>
      </c>
      <c r="T29">
        <v>111.4</v>
      </c>
      <c r="U29">
        <v>109</v>
      </c>
      <c r="V29">
        <v>111.1</v>
      </c>
      <c r="W29">
        <v>109.7</v>
      </c>
      <c r="X29">
        <v>109.5</v>
      </c>
      <c r="Y29">
        <v>109.6</v>
      </c>
      <c r="Z29">
        <v>107.9</v>
      </c>
      <c r="AA29">
        <v>110.4</v>
      </c>
      <c r="AB29">
        <v>107.4</v>
      </c>
      <c r="AC29">
        <v>111.2</v>
      </c>
      <c r="AD29">
        <v>106.9</v>
      </c>
      <c r="AE29">
        <v>109.4</v>
      </c>
      <c r="AF29">
        <v>113.2</v>
      </c>
    </row>
    <row r="30" spans="2:32" x14ac:dyDescent="0.3">
      <c r="B30" t="s">
        <v>34</v>
      </c>
      <c r="C30">
        <v>2013</v>
      </c>
      <c r="D30" t="s">
        <v>42</v>
      </c>
      <c r="E30" s="40" t="s">
        <v>217</v>
      </c>
      <c r="F30">
        <v>116.4</v>
      </c>
      <c r="G30">
        <v>116.9</v>
      </c>
      <c r="H30">
        <v>112.3</v>
      </c>
      <c r="I30">
        <v>110.5</v>
      </c>
      <c r="J30">
        <v>105.3</v>
      </c>
      <c r="K30">
        <v>107.3</v>
      </c>
      <c r="L30">
        <v>160.9</v>
      </c>
      <c r="M30">
        <v>107.1</v>
      </c>
      <c r="N30">
        <v>103.1</v>
      </c>
      <c r="O30">
        <v>108.3</v>
      </c>
      <c r="P30">
        <v>110.7</v>
      </c>
      <c r="Q30">
        <v>114.6</v>
      </c>
      <c r="R30">
        <v>118.3</v>
      </c>
      <c r="S30">
        <v>112</v>
      </c>
      <c r="T30">
        <v>112.2</v>
      </c>
      <c r="U30">
        <v>110.4</v>
      </c>
      <c r="V30">
        <v>111.9</v>
      </c>
      <c r="W30">
        <v>109.7</v>
      </c>
      <c r="X30">
        <v>110.5</v>
      </c>
      <c r="Y30">
        <v>109.6</v>
      </c>
      <c r="Z30">
        <v>108.1</v>
      </c>
      <c r="AA30">
        <v>109.9</v>
      </c>
      <c r="AB30">
        <v>107.5</v>
      </c>
      <c r="AC30">
        <v>110.6</v>
      </c>
      <c r="AD30">
        <v>106.8</v>
      </c>
      <c r="AE30">
        <v>109</v>
      </c>
      <c r="AF30">
        <v>113.7</v>
      </c>
    </row>
    <row r="31" spans="2:32" x14ac:dyDescent="0.3">
      <c r="B31" t="s">
        <v>30</v>
      </c>
      <c r="C31">
        <v>2013</v>
      </c>
      <c r="D31" t="s">
        <v>43</v>
      </c>
      <c r="E31" s="40" t="s">
        <v>218</v>
      </c>
      <c r="F31">
        <v>116.3</v>
      </c>
      <c r="G31">
        <v>115.4</v>
      </c>
      <c r="H31">
        <v>112.6</v>
      </c>
      <c r="I31">
        <v>111.7</v>
      </c>
      <c r="J31">
        <v>107.7</v>
      </c>
      <c r="K31">
        <v>113.2</v>
      </c>
      <c r="L31">
        <v>164.9</v>
      </c>
      <c r="M31">
        <v>108.3</v>
      </c>
      <c r="N31">
        <v>103.9</v>
      </c>
      <c r="O31">
        <v>108.2</v>
      </c>
      <c r="P31">
        <v>111.1</v>
      </c>
      <c r="Q31">
        <v>114.9</v>
      </c>
      <c r="R31">
        <v>119.8</v>
      </c>
      <c r="S31">
        <v>112.2</v>
      </c>
      <c r="T31">
        <v>113.6</v>
      </c>
      <c r="U31">
        <v>112.3</v>
      </c>
      <c r="V31">
        <v>113.4</v>
      </c>
      <c r="W31">
        <v>110.5</v>
      </c>
      <c r="X31">
        <v>111.6</v>
      </c>
      <c r="Y31">
        <v>110.4</v>
      </c>
      <c r="Z31">
        <v>108.9</v>
      </c>
      <c r="AA31">
        <v>109.3</v>
      </c>
      <c r="AB31">
        <v>108.3</v>
      </c>
      <c r="AC31">
        <v>110.2</v>
      </c>
      <c r="AD31">
        <v>107.5</v>
      </c>
      <c r="AE31">
        <v>109.1</v>
      </c>
      <c r="AF31">
        <v>115.5</v>
      </c>
    </row>
    <row r="32" spans="2:32" x14ac:dyDescent="0.3">
      <c r="B32" t="s">
        <v>33</v>
      </c>
      <c r="C32">
        <v>2013</v>
      </c>
      <c r="D32" t="s">
        <v>43</v>
      </c>
      <c r="E32" s="40" t="s">
        <v>218</v>
      </c>
      <c r="F32">
        <v>118.9</v>
      </c>
      <c r="G32">
        <v>118.1</v>
      </c>
      <c r="H32">
        <v>114.5</v>
      </c>
      <c r="I32">
        <v>110.4</v>
      </c>
      <c r="J32">
        <v>102.3</v>
      </c>
      <c r="K32">
        <v>106.2</v>
      </c>
      <c r="L32">
        <v>183.5</v>
      </c>
      <c r="M32">
        <v>105.3</v>
      </c>
      <c r="N32">
        <v>100.2</v>
      </c>
      <c r="O32">
        <v>109.6</v>
      </c>
      <c r="P32">
        <v>111.4</v>
      </c>
      <c r="Q32">
        <v>116</v>
      </c>
      <c r="R32">
        <v>120.8</v>
      </c>
      <c r="S32">
        <v>113.5</v>
      </c>
      <c r="T32">
        <v>112.5</v>
      </c>
      <c r="U32">
        <v>109.7</v>
      </c>
      <c r="V32">
        <v>112</v>
      </c>
      <c r="W32">
        <v>110.5</v>
      </c>
      <c r="X32">
        <v>109.7</v>
      </c>
      <c r="Y32">
        <v>110.2</v>
      </c>
      <c r="Z32">
        <v>108.2</v>
      </c>
      <c r="AA32">
        <v>109.7</v>
      </c>
      <c r="AB32">
        <v>108</v>
      </c>
      <c r="AC32">
        <v>111.3</v>
      </c>
      <c r="AD32">
        <v>107.3</v>
      </c>
      <c r="AE32">
        <v>109.4</v>
      </c>
      <c r="AF32">
        <v>114</v>
      </c>
    </row>
    <row r="33" spans="2:32" x14ac:dyDescent="0.3">
      <c r="B33" t="s">
        <v>34</v>
      </c>
      <c r="C33">
        <v>2013</v>
      </c>
      <c r="D33" t="s">
        <v>43</v>
      </c>
      <c r="E33" s="40" t="s">
        <v>218</v>
      </c>
      <c r="F33">
        <v>117.1</v>
      </c>
      <c r="G33">
        <v>116.3</v>
      </c>
      <c r="H33">
        <v>113.3</v>
      </c>
      <c r="I33">
        <v>111.2</v>
      </c>
      <c r="J33">
        <v>105.7</v>
      </c>
      <c r="K33">
        <v>109.9</v>
      </c>
      <c r="L33">
        <v>171.2</v>
      </c>
      <c r="M33">
        <v>107.3</v>
      </c>
      <c r="N33">
        <v>102.7</v>
      </c>
      <c r="O33">
        <v>108.7</v>
      </c>
      <c r="P33">
        <v>111.2</v>
      </c>
      <c r="Q33">
        <v>115.4</v>
      </c>
      <c r="R33">
        <v>120.2</v>
      </c>
      <c r="S33">
        <v>112.5</v>
      </c>
      <c r="T33">
        <v>113.2</v>
      </c>
      <c r="U33">
        <v>111.2</v>
      </c>
      <c r="V33">
        <v>112.8</v>
      </c>
      <c r="W33">
        <v>110.5</v>
      </c>
      <c r="X33">
        <v>110.9</v>
      </c>
      <c r="Y33">
        <v>110.3</v>
      </c>
      <c r="Z33">
        <v>108.6</v>
      </c>
      <c r="AA33">
        <v>109.5</v>
      </c>
      <c r="AB33">
        <v>108.1</v>
      </c>
      <c r="AC33">
        <v>110.8</v>
      </c>
      <c r="AD33">
        <v>107.4</v>
      </c>
      <c r="AE33">
        <v>109.2</v>
      </c>
      <c r="AF33">
        <v>114.8</v>
      </c>
    </row>
    <row r="34" spans="2:32" x14ac:dyDescent="0.3">
      <c r="B34" t="s">
        <v>30</v>
      </c>
      <c r="C34">
        <v>2013</v>
      </c>
      <c r="D34" t="s">
        <v>45</v>
      </c>
      <c r="E34" s="40" t="s">
        <v>219</v>
      </c>
      <c r="F34">
        <v>117.3</v>
      </c>
      <c r="G34">
        <v>114.9</v>
      </c>
      <c r="H34">
        <v>116.2</v>
      </c>
      <c r="I34">
        <v>112.8</v>
      </c>
      <c r="J34">
        <v>108.9</v>
      </c>
      <c r="K34">
        <v>116.6</v>
      </c>
      <c r="L34">
        <v>178.1</v>
      </c>
      <c r="M34">
        <v>109.1</v>
      </c>
      <c r="N34">
        <v>103.6</v>
      </c>
      <c r="O34">
        <v>109</v>
      </c>
      <c r="P34">
        <v>111.8</v>
      </c>
      <c r="Q34">
        <v>116</v>
      </c>
      <c r="R34">
        <v>122.5</v>
      </c>
      <c r="S34">
        <v>112.8</v>
      </c>
      <c r="T34">
        <v>114.6</v>
      </c>
      <c r="U34">
        <v>113.1</v>
      </c>
      <c r="V34">
        <v>114.4</v>
      </c>
      <c r="W34">
        <v>111.1</v>
      </c>
      <c r="X34">
        <v>112.6</v>
      </c>
      <c r="Y34">
        <v>111.3</v>
      </c>
      <c r="Z34">
        <v>109.7</v>
      </c>
      <c r="AA34">
        <v>109.6</v>
      </c>
      <c r="AB34">
        <v>108.7</v>
      </c>
      <c r="AC34">
        <v>111</v>
      </c>
      <c r="AD34">
        <v>108.2</v>
      </c>
      <c r="AE34">
        <v>109.8</v>
      </c>
      <c r="AF34">
        <v>117.4</v>
      </c>
    </row>
    <row r="35" spans="2:32" x14ac:dyDescent="0.3">
      <c r="B35" t="s">
        <v>33</v>
      </c>
      <c r="C35">
        <v>2013</v>
      </c>
      <c r="D35" t="s">
        <v>45</v>
      </c>
      <c r="E35" s="40" t="s">
        <v>219</v>
      </c>
      <c r="F35">
        <v>119.8</v>
      </c>
      <c r="G35">
        <v>116.3</v>
      </c>
      <c r="H35">
        <v>122.6</v>
      </c>
      <c r="I35">
        <v>112</v>
      </c>
      <c r="J35">
        <v>103.2</v>
      </c>
      <c r="K35">
        <v>110</v>
      </c>
      <c r="L35">
        <v>192.8</v>
      </c>
      <c r="M35">
        <v>106.3</v>
      </c>
      <c r="N35">
        <v>99.5</v>
      </c>
      <c r="O35">
        <v>110.3</v>
      </c>
      <c r="P35">
        <v>111.8</v>
      </c>
      <c r="Q35">
        <v>117.1</v>
      </c>
      <c r="R35">
        <v>122.9</v>
      </c>
      <c r="S35">
        <v>114.1</v>
      </c>
      <c r="T35">
        <v>113.5</v>
      </c>
      <c r="U35">
        <v>110.3</v>
      </c>
      <c r="V35">
        <v>113</v>
      </c>
      <c r="W35">
        <v>111.1</v>
      </c>
      <c r="X35">
        <v>110</v>
      </c>
      <c r="Y35">
        <v>110.9</v>
      </c>
      <c r="Z35">
        <v>108.6</v>
      </c>
      <c r="AA35">
        <v>109.5</v>
      </c>
      <c r="AB35">
        <v>108.5</v>
      </c>
      <c r="AC35">
        <v>111.3</v>
      </c>
      <c r="AD35">
        <v>107.9</v>
      </c>
      <c r="AE35">
        <v>109.6</v>
      </c>
      <c r="AF35">
        <v>115</v>
      </c>
    </row>
    <row r="36" spans="2:32" x14ac:dyDescent="0.3">
      <c r="B36" t="s">
        <v>34</v>
      </c>
      <c r="C36">
        <v>2013</v>
      </c>
      <c r="D36" t="s">
        <v>45</v>
      </c>
      <c r="E36" s="40" t="s">
        <v>219</v>
      </c>
      <c r="F36">
        <v>118.1</v>
      </c>
      <c r="G36">
        <v>115.4</v>
      </c>
      <c r="H36">
        <v>118.7</v>
      </c>
      <c r="I36">
        <v>112.5</v>
      </c>
      <c r="J36">
        <v>106.8</v>
      </c>
      <c r="K36">
        <v>113.5</v>
      </c>
      <c r="L36">
        <v>183.1</v>
      </c>
      <c r="M36">
        <v>108.2</v>
      </c>
      <c r="N36">
        <v>102.2</v>
      </c>
      <c r="O36">
        <v>109.4</v>
      </c>
      <c r="P36">
        <v>111.8</v>
      </c>
      <c r="Q36">
        <v>116.5</v>
      </c>
      <c r="R36">
        <v>122.6</v>
      </c>
      <c r="S36">
        <v>113.1</v>
      </c>
      <c r="T36">
        <v>114.2</v>
      </c>
      <c r="U36">
        <v>111.9</v>
      </c>
      <c r="V36">
        <v>113.8</v>
      </c>
      <c r="W36">
        <v>111.1</v>
      </c>
      <c r="X36">
        <v>111.6</v>
      </c>
      <c r="Y36">
        <v>111.1</v>
      </c>
      <c r="Z36">
        <v>109.3</v>
      </c>
      <c r="AA36">
        <v>109.5</v>
      </c>
      <c r="AB36">
        <v>108.6</v>
      </c>
      <c r="AC36">
        <v>111.2</v>
      </c>
      <c r="AD36">
        <v>108.1</v>
      </c>
      <c r="AE36">
        <v>109.7</v>
      </c>
      <c r="AF36">
        <v>116.3</v>
      </c>
    </row>
    <row r="37" spans="2:32" x14ac:dyDescent="0.3">
      <c r="B37" t="s">
        <v>30</v>
      </c>
      <c r="C37">
        <v>2013</v>
      </c>
      <c r="D37" t="s">
        <v>46</v>
      </c>
      <c r="E37" s="40" t="s">
        <v>220</v>
      </c>
      <c r="F37">
        <v>118.4</v>
      </c>
      <c r="G37">
        <v>115.9</v>
      </c>
      <c r="H37">
        <v>120.4</v>
      </c>
      <c r="I37">
        <v>113.8</v>
      </c>
      <c r="J37">
        <v>109.5</v>
      </c>
      <c r="K37">
        <v>115.5</v>
      </c>
      <c r="L37">
        <v>145.69999999999999</v>
      </c>
      <c r="M37">
        <v>109.5</v>
      </c>
      <c r="N37">
        <v>102.9</v>
      </c>
      <c r="O37">
        <v>109.8</v>
      </c>
      <c r="P37">
        <v>112.1</v>
      </c>
      <c r="Q37">
        <v>116.8</v>
      </c>
      <c r="R37">
        <v>118.7</v>
      </c>
      <c r="S37">
        <v>113.6</v>
      </c>
      <c r="T37">
        <v>115.8</v>
      </c>
      <c r="U37">
        <v>114</v>
      </c>
      <c r="V37">
        <v>115.5</v>
      </c>
      <c r="W37">
        <v>110.7</v>
      </c>
      <c r="X37">
        <v>112.8</v>
      </c>
      <c r="Y37">
        <v>112.1</v>
      </c>
      <c r="Z37">
        <v>110.1</v>
      </c>
      <c r="AA37">
        <v>109.9</v>
      </c>
      <c r="AB37">
        <v>109.2</v>
      </c>
      <c r="AC37">
        <v>111.6</v>
      </c>
      <c r="AD37">
        <v>108.1</v>
      </c>
      <c r="AE37">
        <v>110.1</v>
      </c>
      <c r="AF37">
        <v>115.5</v>
      </c>
    </row>
    <row r="38" spans="2:32" x14ac:dyDescent="0.3">
      <c r="B38" t="s">
        <v>33</v>
      </c>
      <c r="C38">
        <v>2013</v>
      </c>
      <c r="D38" t="s">
        <v>46</v>
      </c>
      <c r="E38" s="40" t="s">
        <v>220</v>
      </c>
      <c r="F38">
        <v>120.5</v>
      </c>
      <c r="G38">
        <v>118.1</v>
      </c>
      <c r="H38">
        <v>128.5</v>
      </c>
      <c r="I38">
        <v>112.8</v>
      </c>
      <c r="J38">
        <v>103.4</v>
      </c>
      <c r="K38">
        <v>110.7</v>
      </c>
      <c r="L38">
        <v>144.80000000000001</v>
      </c>
      <c r="M38">
        <v>107.1</v>
      </c>
      <c r="N38">
        <v>98.6</v>
      </c>
      <c r="O38">
        <v>111.9</v>
      </c>
      <c r="P38">
        <v>112.1</v>
      </c>
      <c r="Q38">
        <v>118.1</v>
      </c>
      <c r="R38">
        <v>117.8</v>
      </c>
      <c r="S38">
        <v>115</v>
      </c>
      <c r="T38">
        <v>114.2</v>
      </c>
      <c r="U38">
        <v>110.9</v>
      </c>
      <c r="V38">
        <v>113.7</v>
      </c>
      <c r="W38">
        <v>110.7</v>
      </c>
      <c r="X38">
        <v>110.4</v>
      </c>
      <c r="Y38">
        <v>111.3</v>
      </c>
      <c r="Z38">
        <v>109</v>
      </c>
      <c r="AA38">
        <v>109.7</v>
      </c>
      <c r="AB38">
        <v>108.9</v>
      </c>
      <c r="AC38">
        <v>111.4</v>
      </c>
      <c r="AD38">
        <v>107.7</v>
      </c>
      <c r="AE38">
        <v>109.8</v>
      </c>
      <c r="AF38">
        <v>113.3</v>
      </c>
    </row>
    <row r="39" spans="2:32" x14ac:dyDescent="0.3">
      <c r="B39" t="s">
        <v>34</v>
      </c>
      <c r="C39">
        <v>2013</v>
      </c>
      <c r="D39" t="s">
        <v>46</v>
      </c>
      <c r="E39" s="40" t="s">
        <v>220</v>
      </c>
      <c r="F39">
        <v>119.1</v>
      </c>
      <c r="G39">
        <v>116.7</v>
      </c>
      <c r="H39">
        <v>123.5</v>
      </c>
      <c r="I39">
        <v>113.4</v>
      </c>
      <c r="J39">
        <v>107.3</v>
      </c>
      <c r="K39">
        <v>113.3</v>
      </c>
      <c r="L39">
        <v>145.4</v>
      </c>
      <c r="M39">
        <v>108.7</v>
      </c>
      <c r="N39">
        <v>101.5</v>
      </c>
      <c r="O39">
        <v>110.5</v>
      </c>
      <c r="P39">
        <v>112.1</v>
      </c>
      <c r="Q39">
        <v>117.4</v>
      </c>
      <c r="R39">
        <v>118.4</v>
      </c>
      <c r="S39">
        <v>114</v>
      </c>
      <c r="T39">
        <v>115.2</v>
      </c>
      <c r="U39">
        <v>112.7</v>
      </c>
      <c r="V39">
        <v>114.8</v>
      </c>
      <c r="W39">
        <v>110.7</v>
      </c>
      <c r="X39">
        <v>111.9</v>
      </c>
      <c r="Y39">
        <v>111.7</v>
      </c>
      <c r="Z39">
        <v>109.7</v>
      </c>
      <c r="AA39">
        <v>109.8</v>
      </c>
      <c r="AB39">
        <v>109</v>
      </c>
      <c r="AC39">
        <v>111.5</v>
      </c>
      <c r="AD39">
        <v>107.9</v>
      </c>
      <c r="AE39">
        <v>110</v>
      </c>
      <c r="AF39">
        <v>114.5</v>
      </c>
    </row>
    <row r="40" spans="2:32" x14ac:dyDescent="0.3">
      <c r="B40" t="s">
        <v>30</v>
      </c>
      <c r="C40">
        <v>2014</v>
      </c>
      <c r="D40" t="s">
        <v>31</v>
      </c>
      <c r="E40" s="40" t="s">
        <v>221</v>
      </c>
      <c r="F40">
        <v>118.9</v>
      </c>
      <c r="G40">
        <v>117.1</v>
      </c>
      <c r="H40">
        <v>120.5</v>
      </c>
      <c r="I40">
        <v>114.4</v>
      </c>
      <c r="J40">
        <v>109</v>
      </c>
      <c r="K40">
        <v>115.5</v>
      </c>
      <c r="L40">
        <v>123.9</v>
      </c>
      <c r="M40">
        <v>109.6</v>
      </c>
      <c r="N40">
        <v>101.8</v>
      </c>
      <c r="O40">
        <v>110.2</v>
      </c>
      <c r="P40">
        <v>112.4</v>
      </c>
      <c r="Q40">
        <v>117.3</v>
      </c>
      <c r="R40">
        <v>116</v>
      </c>
      <c r="S40">
        <v>114</v>
      </c>
      <c r="T40">
        <v>116.5</v>
      </c>
      <c r="U40">
        <v>114.5</v>
      </c>
      <c r="V40">
        <v>116.2</v>
      </c>
      <c r="W40">
        <v>111.6</v>
      </c>
      <c r="X40">
        <v>113</v>
      </c>
      <c r="Y40">
        <v>112.6</v>
      </c>
      <c r="Z40">
        <v>110.6</v>
      </c>
      <c r="AA40">
        <v>110.5</v>
      </c>
      <c r="AB40">
        <v>109.6</v>
      </c>
      <c r="AC40">
        <v>111.8</v>
      </c>
      <c r="AD40">
        <v>108.3</v>
      </c>
      <c r="AE40">
        <v>110.6</v>
      </c>
      <c r="AF40">
        <v>114.2</v>
      </c>
    </row>
    <row r="41" spans="2:32" x14ac:dyDescent="0.3">
      <c r="B41" t="s">
        <v>33</v>
      </c>
      <c r="C41">
        <v>2014</v>
      </c>
      <c r="D41" t="s">
        <v>31</v>
      </c>
      <c r="E41" s="40" t="s">
        <v>221</v>
      </c>
      <c r="F41">
        <v>121.2</v>
      </c>
      <c r="G41">
        <v>122</v>
      </c>
      <c r="H41">
        <v>129.9</v>
      </c>
      <c r="I41">
        <v>113.6</v>
      </c>
      <c r="J41">
        <v>102.9</v>
      </c>
      <c r="K41">
        <v>112.1</v>
      </c>
      <c r="L41">
        <v>118.9</v>
      </c>
      <c r="M41">
        <v>107.5</v>
      </c>
      <c r="N41">
        <v>96.9</v>
      </c>
      <c r="O41">
        <v>112.7</v>
      </c>
      <c r="P41">
        <v>112.1</v>
      </c>
      <c r="Q41">
        <v>119</v>
      </c>
      <c r="R41">
        <v>115.5</v>
      </c>
      <c r="S41">
        <v>115.7</v>
      </c>
      <c r="T41">
        <v>114.8</v>
      </c>
      <c r="U41">
        <v>111.3</v>
      </c>
      <c r="V41">
        <v>114.3</v>
      </c>
      <c r="W41">
        <v>111.6</v>
      </c>
      <c r="X41">
        <v>111</v>
      </c>
      <c r="Y41">
        <v>111.9</v>
      </c>
      <c r="Z41">
        <v>109.7</v>
      </c>
      <c r="AA41">
        <v>110.8</v>
      </c>
      <c r="AB41">
        <v>109.8</v>
      </c>
      <c r="AC41">
        <v>111.5</v>
      </c>
      <c r="AD41">
        <v>108</v>
      </c>
      <c r="AE41">
        <v>110.5</v>
      </c>
      <c r="AF41">
        <v>112.9</v>
      </c>
    </row>
    <row r="42" spans="2:32" x14ac:dyDescent="0.3">
      <c r="B42" t="s">
        <v>34</v>
      </c>
      <c r="C42">
        <v>2014</v>
      </c>
      <c r="D42" t="s">
        <v>31</v>
      </c>
      <c r="E42" s="40" t="s">
        <v>221</v>
      </c>
      <c r="F42">
        <v>119.6</v>
      </c>
      <c r="G42">
        <v>118.8</v>
      </c>
      <c r="H42">
        <v>124.1</v>
      </c>
      <c r="I42">
        <v>114.1</v>
      </c>
      <c r="J42">
        <v>106.8</v>
      </c>
      <c r="K42">
        <v>113.9</v>
      </c>
      <c r="L42">
        <v>122.2</v>
      </c>
      <c r="M42">
        <v>108.9</v>
      </c>
      <c r="N42">
        <v>100.2</v>
      </c>
      <c r="O42">
        <v>111</v>
      </c>
      <c r="P42">
        <v>112.3</v>
      </c>
      <c r="Q42">
        <v>118.1</v>
      </c>
      <c r="R42">
        <v>115.8</v>
      </c>
      <c r="S42">
        <v>114.5</v>
      </c>
      <c r="T42">
        <v>115.8</v>
      </c>
      <c r="U42">
        <v>113.2</v>
      </c>
      <c r="V42">
        <v>115.4</v>
      </c>
      <c r="W42">
        <v>111.6</v>
      </c>
      <c r="X42">
        <v>112.2</v>
      </c>
      <c r="Y42">
        <v>112.3</v>
      </c>
      <c r="Z42">
        <v>110.3</v>
      </c>
      <c r="AA42">
        <v>110.7</v>
      </c>
      <c r="AB42">
        <v>109.7</v>
      </c>
      <c r="AC42">
        <v>111.6</v>
      </c>
      <c r="AD42">
        <v>108.2</v>
      </c>
      <c r="AE42">
        <v>110.6</v>
      </c>
      <c r="AF42">
        <v>113.6</v>
      </c>
    </row>
    <row r="43" spans="2:32" x14ac:dyDescent="0.3">
      <c r="B43" t="s">
        <v>30</v>
      </c>
      <c r="C43">
        <v>2014</v>
      </c>
      <c r="D43" t="s">
        <v>35</v>
      </c>
      <c r="E43" s="40" t="s">
        <v>222</v>
      </c>
      <c r="F43">
        <v>119.4</v>
      </c>
      <c r="G43">
        <v>117.7</v>
      </c>
      <c r="H43">
        <v>121.2</v>
      </c>
      <c r="I43">
        <v>115</v>
      </c>
      <c r="J43">
        <v>109</v>
      </c>
      <c r="K43">
        <v>116.6</v>
      </c>
      <c r="L43">
        <v>116</v>
      </c>
      <c r="M43">
        <v>109.8</v>
      </c>
      <c r="N43">
        <v>101.1</v>
      </c>
      <c r="O43">
        <v>110.4</v>
      </c>
      <c r="P43">
        <v>112.9</v>
      </c>
      <c r="Q43">
        <v>117.8</v>
      </c>
      <c r="R43">
        <v>115.3</v>
      </c>
      <c r="S43">
        <v>114.2</v>
      </c>
      <c r="T43">
        <v>117.1</v>
      </c>
      <c r="U43">
        <v>114.5</v>
      </c>
      <c r="V43">
        <v>116.7</v>
      </c>
      <c r="W43">
        <v>112.5</v>
      </c>
      <c r="X43">
        <v>113.2</v>
      </c>
      <c r="Y43">
        <v>112.9</v>
      </c>
      <c r="Z43">
        <v>110.9</v>
      </c>
      <c r="AA43">
        <v>110.8</v>
      </c>
      <c r="AB43">
        <v>109.9</v>
      </c>
      <c r="AC43">
        <v>112</v>
      </c>
      <c r="AD43">
        <v>108.7</v>
      </c>
      <c r="AE43">
        <v>110.9</v>
      </c>
      <c r="AF43">
        <v>114</v>
      </c>
    </row>
    <row r="44" spans="2:32" x14ac:dyDescent="0.3">
      <c r="B44" t="s">
        <v>33</v>
      </c>
      <c r="C44">
        <v>2014</v>
      </c>
      <c r="D44" t="s">
        <v>35</v>
      </c>
      <c r="E44" s="40" t="s">
        <v>222</v>
      </c>
      <c r="F44">
        <v>121.9</v>
      </c>
      <c r="G44">
        <v>122</v>
      </c>
      <c r="H44">
        <v>124.5</v>
      </c>
      <c r="I44">
        <v>115.2</v>
      </c>
      <c r="J44">
        <v>102.5</v>
      </c>
      <c r="K44">
        <v>114.1</v>
      </c>
      <c r="L44">
        <v>111.5</v>
      </c>
      <c r="M44">
        <v>108.2</v>
      </c>
      <c r="N44">
        <v>95.4</v>
      </c>
      <c r="O44">
        <v>113.5</v>
      </c>
      <c r="P44">
        <v>112.1</v>
      </c>
      <c r="Q44">
        <v>119.9</v>
      </c>
      <c r="R44">
        <v>115.2</v>
      </c>
      <c r="S44">
        <v>116.2</v>
      </c>
      <c r="T44">
        <v>115.3</v>
      </c>
      <c r="U44">
        <v>111.7</v>
      </c>
      <c r="V44">
        <v>114.7</v>
      </c>
      <c r="W44">
        <v>112.5</v>
      </c>
      <c r="X44">
        <v>111.1</v>
      </c>
      <c r="Y44">
        <v>112.6</v>
      </c>
      <c r="Z44">
        <v>110.4</v>
      </c>
      <c r="AA44">
        <v>111.3</v>
      </c>
      <c r="AB44">
        <v>110.3</v>
      </c>
      <c r="AC44">
        <v>111.6</v>
      </c>
      <c r="AD44">
        <v>108.7</v>
      </c>
      <c r="AE44">
        <v>111</v>
      </c>
      <c r="AF44">
        <v>113.1</v>
      </c>
    </row>
    <row r="45" spans="2:32" x14ac:dyDescent="0.3">
      <c r="B45" t="s">
        <v>34</v>
      </c>
      <c r="C45">
        <v>2014</v>
      </c>
      <c r="D45" t="s">
        <v>35</v>
      </c>
      <c r="E45" s="40" t="s">
        <v>222</v>
      </c>
      <c r="F45">
        <v>120.2</v>
      </c>
      <c r="G45">
        <v>119.2</v>
      </c>
      <c r="H45">
        <v>122.5</v>
      </c>
      <c r="I45">
        <v>115.1</v>
      </c>
      <c r="J45">
        <v>106.6</v>
      </c>
      <c r="K45">
        <v>115.4</v>
      </c>
      <c r="L45">
        <v>114.5</v>
      </c>
      <c r="M45">
        <v>109.3</v>
      </c>
      <c r="N45">
        <v>99.2</v>
      </c>
      <c r="O45">
        <v>111.4</v>
      </c>
      <c r="P45">
        <v>112.6</v>
      </c>
      <c r="Q45">
        <v>118.8</v>
      </c>
      <c r="R45">
        <v>115.3</v>
      </c>
      <c r="S45">
        <v>114.7</v>
      </c>
      <c r="T45">
        <v>116.4</v>
      </c>
      <c r="U45">
        <v>113.3</v>
      </c>
      <c r="V45">
        <v>115.9</v>
      </c>
      <c r="W45">
        <v>112.5</v>
      </c>
      <c r="X45">
        <v>112.4</v>
      </c>
      <c r="Y45">
        <v>112.8</v>
      </c>
      <c r="Z45">
        <v>110.7</v>
      </c>
      <c r="AA45">
        <v>111.1</v>
      </c>
      <c r="AB45">
        <v>110.1</v>
      </c>
      <c r="AC45">
        <v>111.8</v>
      </c>
      <c r="AD45">
        <v>108.7</v>
      </c>
      <c r="AE45">
        <v>110.9</v>
      </c>
      <c r="AF45">
        <v>113.6</v>
      </c>
    </row>
    <row r="46" spans="2:32" x14ac:dyDescent="0.3">
      <c r="B46" t="s">
        <v>30</v>
      </c>
      <c r="C46">
        <v>2014</v>
      </c>
      <c r="D46" t="s">
        <v>36</v>
      </c>
      <c r="E46" s="40" t="s">
        <v>223</v>
      </c>
      <c r="F46">
        <v>120.1</v>
      </c>
      <c r="G46">
        <v>118.1</v>
      </c>
      <c r="H46">
        <v>120.7</v>
      </c>
      <c r="I46">
        <v>116.1</v>
      </c>
      <c r="J46">
        <v>109.3</v>
      </c>
      <c r="K46">
        <v>119.6</v>
      </c>
      <c r="L46">
        <v>117.9</v>
      </c>
      <c r="M46">
        <v>110.2</v>
      </c>
      <c r="N46">
        <v>101.2</v>
      </c>
      <c r="O46">
        <v>110.7</v>
      </c>
      <c r="P46">
        <v>113</v>
      </c>
      <c r="Q46">
        <v>118.3</v>
      </c>
      <c r="R46">
        <v>116.2</v>
      </c>
      <c r="S46">
        <v>114.6</v>
      </c>
      <c r="T46">
        <v>117.5</v>
      </c>
      <c r="U46">
        <v>114.9</v>
      </c>
      <c r="V46">
        <v>117.2</v>
      </c>
      <c r="W46">
        <v>113.2</v>
      </c>
      <c r="X46">
        <v>113.4</v>
      </c>
      <c r="Y46">
        <v>113.4</v>
      </c>
      <c r="Z46">
        <v>111.4</v>
      </c>
      <c r="AA46">
        <v>111.2</v>
      </c>
      <c r="AB46">
        <v>110.2</v>
      </c>
      <c r="AC46">
        <v>112.4</v>
      </c>
      <c r="AD46">
        <v>108.9</v>
      </c>
      <c r="AE46">
        <v>111.3</v>
      </c>
      <c r="AF46">
        <v>114.6</v>
      </c>
    </row>
    <row r="47" spans="2:32" x14ac:dyDescent="0.3">
      <c r="B47" t="s">
        <v>33</v>
      </c>
      <c r="C47">
        <v>2014</v>
      </c>
      <c r="D47" t="s">
        <v>36</v>
      </c>
      <c r="E47" s="40" t="s">
        <v>223</v>
      </c>
      <c r="F47">
        <v>122.1</v>
      </c>
      <c r="G47">
        <v>121.4</v>
      </c>
      <c r="H47">
        <v>121.5</v>
      </c>
      <c r="I47">
        <v>116.2</v>
      </c>
      <c r="J47">
        <v>102.8</v>
      </c>
      <c r="K47">
        <v>117.7</v>
      </c>
      <c r="L47">
        <v>113.3</v>
      </c>
      <c r="M47">
        <v>108.9</v>
      </c>
      <c r="N47">
        <v>96.3</v>
      </c>
      <c r="O47">
        <v>114.1</v>
      </c>
      <c r="P47">
        <v>112.2</v>
      </c>
      <c r="Q47">
        <v>120.5</v>
      </c>
      <c r="R47">
        <v>116</v>
      </c>
      <c r="S47">
        <v>116.7</v>
      </c>
      <c r="T47">
        <v>115.8</v>
      </c>
      <c r="U47">
        <v>112.1</v>
      </c>
      <c r="V47">
        <v>115.2</v>
      </c>
      <c r="W47">
        <v>113.2</v>
      </c>
      <c r="X47">
        <v>110.9</v>
      </c>
      <c r="Y47">
        <v>113</v>
      </c>
      <c r="Z47">
        <v>110.8</v>
      </c>
      <c r="AA47">
        <v>111.6</v>
      </c>
      <c r="AB47">
        <v>110.9</v>
      </c>
      <c r="AC47">
        <v>111.8</v>
      </c>
      <c r="AD47">
        <v>109.2</v>
      </c>
      <c r="AE47">
        <v>111.4</v>
      </c>
      <c r="AF47">
        <v>113.7</v>
      </c>
    </row>
    <row r="48" spans="2:32" x14ac:dyDescent="0.3">
      <c r="B48" t="s">
        <v>34</v>
      </c>
      <c r="C48">
        <v>2014</v>
      </c>
      <c r="D48" t="s">
        <v>36</v>
      </c>
      <c r="E48" s="40" t="s">
        <v>223</v>
      </c>
      <c r="F48">
        <v>120.7</v>
      </c>
      <c r="G48">
        <v>119.3</v>
      </c>
      <c r="H48">
        <v>121</v>
      </c>
      <c r="I48">
        <v>116.1</v>
      </c>
      <c r="J48">
        <v>106.9</v>
      </c>
      <c r="K48">
        <v>118.7</v>
      </c>
      <c r="L48">
        <v>116.3</v>
      </c>
      <c r="M48">
        <v>109.8</v>
      </c>
      <c r="N48">
        <v>99.6</v>
      </c>
      <c r="O48">
        <v>111.8</v>
      </c>
      <c r="P48">
        <v>112.7</v>
      </c>
      <c r="Q48">
        <v>119.3</v>
      </c>
      <c r="R48">
        <v>116.1</v>
      </c>
      <c r="S48">
        <v>115.2</v>
      </c>
      <c r="T48">
        <v>116.8</v>
      </c>
      <c r="U48">
        <v>113.7</v>
      </c>
      <c r="V48">
        <v>116.4</v>
      </c>
      <c r="W48">
        <v>113.2</v>
      </c>
      <c r="X48">
        <v>112.5</v>
      </c>
      <c r="Y48">
        <v>113.2</v>
      </c>
      <c r="Z48">
        <v>111.2</v>
      </c>
      <c r="AA48">
        <v>111.4</v>
      </c>
      <c r="AB48">
        <v>110.6</v>
      </c>
      <c r="AC48">
        <v>112</v>
      </c>
      <c r="AD48">
        <v>109</v>
      </c>
      <c r="AE48">
        <v>111.3</v>
      </c>
      <c r="AF48">
        <v>114.2</v>
      </c>
    </row>
    <row r="49" spans="2:32" x14ac:dyDescent="0.3">
      <c r="B49" t="s">
        <v>30</v>
      </c>
      <c r="C49">
        <v>2014</v>
      </c>
      <c r="D49" t="s">
        <v>37</v>
      </c>
      <c r="E49" s="40" t="s">
        <v>224</v>
      </c>
      <c r="F49">
        <v>120.2</v>
      </c>
      <c r="G49">
        <v>118.9</v>
      </c>
      <c r="H49">
        <v>118.1</v>
      </c>
      <c r="I49">
        <v>117</v>
      </c>
      <c r="J49">
        <v>109.7</v>
      </c>
      <c r="K49">
        <v>125.5</v>
      </c>
      <c r="L49">
        <v>120.5</v>
      </c>
      <c r="M49">
        <v>111</v>
      </c>
      <c r="N49">
        <v>102.6</v>
      </c>
      <c r="O49">
        <v>111.2</v>
      </c>
      <c r="P49">
        <v>113.5</v>
      </c>
      <c r="Q49">
        <v>118.7</v>
      </c>
      <c r="R49">
        <v>117.2</v>
      </c>
      <c r="S49">
        <v>115.4</v>
      </c>
      <c r="T49">
        <v>118.1</v>
      </c>
      <c r="U49">
        <v>116.1</v>
      </c>
      <c r="V49">
        <v>117.8</v>
      </c>
      <c r="W49">
        <v>113.9</v>
      </c>
      <c r="X49">
        <v>113.4</v>
      </c>
      <c r="Y49">
        <v>113.7</v>
      </c>
      <c r="Z49">
        <v>111.8</v>
      </c>
      <c r="AA49">
        <v>111.2</v>
      </c>
      <c r="AB49">
        <v>110.5</v>
      </c>
      <c r="AC49">
        <v>113</v>
      </c>
      <c r="AD49">
        <v>108.9</v>
      </c>
      <c r="AE49">
        <v>111.5</v>
      </c>
      <c r="AF49">
        <v>115.4</v>
      </c>
    </row>
    <row r="50" spans="2:32" x14ac:dyDescent="0.3">
      <c r="B50" t="s">
        <v>33</v>
      </c>
      <c r="C50">
        <v>2014</v>
      </c>
      <c r="D50" t="s">
        <v>37</v>
      </c>
      <c r="E50" s="40" t="s">
        <v>224</v>
      </c>
      <c r="F50">
        <v>122.5</v>
      </c>
      <c r="G50">
        <v>121.7</v>
      </c>
      <c r="H50">
        <v>113.3</v>
      </c>
      <c r="I50">
        <v>117</v>
      </c>
      <c r="J50">
        <v>103.1</v>
      </c>
      <c r="K50">
        <v>126.7</v>
      </c>
      <c r="L50">
        <v>121.2</v>
      </c>
      <c r="M50">
        <v>111</v>
      </c>
      <c r="N50">
        <v>100.3</v>
      </c>
      <c r="O50">
        <v>115.3</v>
      </c>
      <c r="P50">
        <v>112.7</v>
      </c>
      <c r="Q50">
        <v>121</v>
      </c>
      <c r="R50">
        <v>118.2</v>
      </c>
      <c r="S50">
        <v>117.6</v>
      </c>
      <c r="T50">
        <v>116.3</v>
      </c>
      <c r="U50">
        <v>112.5</v>
      </c>
      <c r="V50">
        <v>115.7</v>
      </c>
      <c r="W50">
        <v>113.9</v>
      </c>
      <c r="X50">
        <v>110.9</v>
      </c>
      <c r="Y50">
        <v>113.4</v>
      </c>
      <c r="Z50">
        <v>111</v>
      </c>
      <c r="AA50">
        <v>111.2</v>
      </c>
      <c r="AB50">
        <v>111.2</v>
      </c>
      <c r="AC50">
        <v>112.5</v>
      </c>
      <c r="AD50">
        <v>109.1</v>
      </c>
      <c r="AE50">
        <v>111.4</v>
      </c>
      <c r="AF50">
        <v>114.7</v>
      </c>
    </row>
    <row r="51" spans="2:32" x14ac:dyDescent="0.3">
      <c r="B51" t="s">
        <v>34</v>
      </c>
      <c r="C51">
        <v>2014</v>
      </c>
      <c r="D51" t="s">
        <v>37</v>
      </c>
      <c r="E51" s="40" t="s">
        <v>224</v>
      </c>
      <c r="F51">
        <v>120.9</v>
      </c>
      <c r="G51">
        <v>119.9</v>
      </c>
      <c r="H51">
        <v>116.2</v>
      </c>
      <c r="I51">
        <v>117</v>
      </c>
      <c r="J51">
        <v>107.3</v>
      </c>
      <c r="K51">
        <v>126.1</v>
      </c>
      <c r="L51">
        <v>120.7</v>
      </c>
      <c r="M51">
        <v>111</v>
      </c>
      <c r="N51">
        <v>101.8</v>
      </c>
      <c r="O51">
        <v>112.6</v>
      </c>
      <c r="P51">
        <v>113.2</v>
      </c>
      <c r="Q51">
        <v>119.8</v>
      </c>
      <c r="R51">
        <v>117.6</v>
      </c>
      <c r="S51">
        <v>116</v>
      </c>
      <c r="T51">
        <v>117.4</v>
      </c>
      <c r="U51">
        <v>114.6</v>
      </c>
      <c r="V51">
        <v>117</v>
      </c>
      <c r="W51">
        <v>113.9</v>
      </c>
      <c r="X51">
        <v>112.5</v>
      </c>
      <c r="Y51">
        <v>113.6</v>
      </c>
      <c r="Z51">
        <v>111.5</v>
      </c>
      <c r="AA51">
        <v>111.2</v>
      </c>
      <c r="AB51">
        <v>110.9</v>
      </c>
      <c r="AC51">
        <v>112.7</v>
      </c>
      <c r="AD51">
        <v>109</v>
      </c>
      <c r="AE51">
        <v>111.5</v>
      </c>
      <c r="AF51">
        <v>115.1</v>
      </c>
    </row>
    <row r="52" spans="2:32" x14ac:dyDescent="0.3">
      <c r="B52" t="s">
        <v>30</v>
      </c>
      <c r="C52">
        <v>2014</v>
      </c>
      <c r="D52" t="s">
        <v>38</v>
      </c>
      <c r="E52" s="40" t="s">
        <v>225</v>
      </c>
      <c r="F52">
        <v>120.3</v>
      </c>
      <c r="G52">
        <v>120.2</v>
      </c>
      <c r="H52">
        <v>116.9</v>
      </c>
      <c r="I52">
        <v>118</v>
      </c>
      <c r="J52">
        <v>110.1</v>
      </c>
      <c r="K52">
        <v>126.3</v>
      </c>
      <c r="L52">
        <v>123.9</v>
      </c>
      <c r="M52">
        <v>111.5</v>
      </c>
      <c r="N52">
        <v>103.5</v>
      </c>
      <c r="O52">
        <v>111.6</v>
      </c>
      <c r="P52">
        <v>114.2</v>
      </c>
      <c r="Q52">
        <v>119.2</v>
      </c>
      <c r="R52">
        <v>118.2</v>
      </c>
      <c r="S52">
        <v>116.3</v>
      </c>
      <c r="T52">
        <v>118.7</v>
      </c>
      <c r="U52">
        <v>116.8</v>
      </c>
      <c r="V52">
        <v>118.5</v>
      </c>
      <c r="W52">
        <v>114.3</v>
      </c>
      <c r="X52">
        <v>113.4</v>
      </c>
      <c r="Y52">
        <v>114.1</v>
      </c>
      <c r="Z52">
        <v>112.1</v>
      </c>
      <c r="AA52">
        <v>111.4</v>
      </c>
      <c r="AB52">
        <v>110.9</v>
      </c>
      <c r="AC52">
        <v>113.1</v>
      </c>
      <c r="AD52">
        <v>108.9</v>
      </c>
      <c r="AE52">
        <v>111.8</v>
      </c>
      <c r="AF52">
        <v>116</v>
      </c>
    </row>
    <row r="53" spans="2:32" x14ac:dyDescent="0.3">
      <c r="B53" t="s">
        <v>33</v>
      </c>
      <c r="C53">
        <v>2014</v>
      </c>
      <c r="D53" t="s">
        <v>38</v>
      </c>
      <c r="E53" s="40" t="s">
        <v>225</v>
      </c>
      <c r="F53">
        <v>122.7</v>
      </c>
      <c r="G53">
        <v>124.1</v>
      </c>
      <c r="H53">
        <v>114.2</v>
      </c>
      <c r="I53">
        <v>119.1</v>
      </c>
      <c r="J53">
        <v>103.5</v>
      </c>
      <c r="K53">
        <v>129.19999999999999</v>
      </c>
      <c r="L53">
        <v>127</v>
      </c>
      <c r="M53">
        <v>112.6</v>
      </c>
      <c r="N53">
        <v>101.3</v>
      </c>
      <c r="O53">
        <v>117</v>
      </c>
      <c r="P53">
        <v>112.9</v>
      </c>
      <c r="Q53">
        <v>121.7</v>
      </c>
      <c r="R53">
        <v>120</v>
      </c>
      <c r="S53">
        <v>118.3</v>
      </c>
      <c r="T53">
        <v>116.8</v>
      </c>
      <c r="U53">
        <v>112.9</v>
      </c>
      <c r="V53">
        <v>116.2</v>
      </c>
      <c r="W53">
        <v>114.3</v>
      </c>
      <c r="X53">
        <v>111.1</v>
      </c>
      <c r="Y53">
        <v>114.1</v>
      </c>
      <c r="Z53">
        <v>111.2</v>
      </c>
      <c r="AA53">
        <v>111.3</v>
      </c>
      <c r="AB53">
        <v>111.5</v>
      </c>
      <c r="AC53">
        <v>112.9</v>
      </c>
      <c r="AD53">
        <v>109.3</v>
      </c>
      <c r="AE53">
        <v>111.7</v>
      </c>
      <c r="AF53">
        <v>115.6</v>
      </c>
    </row>
    <row r="54" spans="2:32" x14ac:dyDescent="0.3">
      <c r="B54" t="s">
        <v>34</v>
      </c>
      <c r="C54">
        <v>2014</v>
      </c>
      <c r="D54" t="s">
        <v>38</v>
      </c>
      <c r="E54" s="40" t="s">
        <v>225</v>
      </c>
      <c r="F54">
        <v>121.1</v>
      </c>
      <c r="G54">
        <v>121.6</v>
      </c>
      <c r="H54">
        <v>115.9</v>
      </c>
      <c r="I54">
        <v>118.4</v>
      </c>
      <c r="J54">
        <v>107.7</v>
      </c>
      <c r="K54">
        <v>127.7</v>
      </c>
      <c r="L54">
        <v>125</v>
      </c>
      <c r="M54">
        <v>111.9</v>
      </c>
      <c r="N54">
        <v>102.8</v>
      </c>
      <c r="O54">
        <v>113.4</v>
      </c>
      <c r="P54">
        <v>113.7</v>
      </c>
      <c r="Q54">
        <v>120.4</v>
      </c>
      <c r="R54">
        <v>118.9</v>
      </c>
      <c r="S54">
        <v>116.8</v>
      </c>
      <c r="T54">
        <v>118</v>
      </c>
      <c r="U54">
        <v>115.2</v>
      </c>
      <c r="V54">
        <v>117.6</v>
      </c>
      <c r="W54">
        <v>114.3</v>
      </c>
      <c r="X54">
        <v>112.5</v>
      </c>
      <c r="Y54">
        <v>114.1</v>
      </c>
      <c r="Z54">
        <v>111.8</v>
      </c>
      <c r="AA54">
        <v>111.3</v>
      </c>
      <c r="AB54">
        <v>111.2</v>
      </c>
      <c r="AC54">
        <v>113</v>
      </c>
      <c r="AD54">
        <v>109.1</v>
      </c>
      <c r="AE54">
        <v>111.8</v>
      </c>
      <c r="AF54">
        <v>115.8</v>
      </c>
    </row>
    <row r="55" spans="2:32" x14ac:dyDescent="0.3">
      <c r="B55" t="s">
        <v>30</v>
      </c>
      <c r="C55">
        <v>2014</v>
      </c>
      <c r="D55" t="s">
        <v>39</v>
      </c>
      <c r="E55" s="40" t="s">
        <v>226</v>
      </c>
      <c r="F55">
        <v>120.7</v>
      </c>
      <c r="G55">
        <v>121.6</v>
      </c>
      <c r="H55">
        <v>116.1</v>
      </c>
      <c r="I55">
        <v>119.3</v>
      </c>
      <c r="J55">
        <v>110.3</v>
      </c>
      <c r="K55">
        <v>125.8</v>
      </c>
      <c r="L55">
        <v>129.30000000000001</v>
      </c>
      <c r="M55">
        <v>112.2</v>
      </c>
      <c r="N55">
        <v>103.6</v>
      </c>
      <c r="O55">
        <v>112.3</v>
      </c>
      <c r="P55">
        <v>114.9</v>
      </c>
      <c r="Q55">
        <v>120.1</v>
      </c>
      <c r="R55">
        <v>119.5</v>
      </c>
      <c r="S55">
        <v>117.3</v>
      </c>
      <c r="T55">
        <v>119.7</v>
      </c>
      <c r="U55">
        <v>117.3</v>
      </c>
      <c r="V55">
        <v>119.3</v>
      </c>
      <c r="W55">
        <v>113.9</v>
      </c>
      <c r="X55">
        <v>114.4</v>
      </c>
      <c r="Y55">
        <v>114.9</v>
      </c>
      <c r="Z55">
        <v>112.8</v>
      </c>
      <c r="AA55">
        <v>112.2</v>
      </c>
      <c r="AB55">
        <v>111.4</v>
      </c>
      <c r="AC55">
        <v>114.3</v>
      </c>
      <c r="AD55">
        <v>108</v>
      </c>
      <c r="AE55">
        <v>112.3</v>
      </c>
      <c r="AF55">
        <v>117</v>
      </c>
    </row>
    <row r="56" spans="2:32" x14ac:dyDescent="0.3">
      <c r="B56" t="s">
        <v>33</v>
      </c>
      <c r="C56">
        <v>2014</v>
      </c>
      <c r="D56" t="s">
        <v>39</v>
      </c>
      <c r="E56" s="40" t="s">
        <v>226</v>
      </c>
      <c r="F56">
        <v>123.1</v>
      </c>
      <c r="G56">
        <v>125.9</v>
      </c>
      <c r="H56">
        <v>115.4</v>
      </c>
      <c r="I56">
        <v>120.4</v>
      </c>
      <c r="J56">
        <v>103.4</v>
      </c>
      <c r="K56">
        <v>131.19999999999999</v>
      </c>
      <c r="L56">
        <v>137.5</v>
      </c>
      <c r="M56">
        <v>112.8</v>
      </c>
      <c r="N56">
        <v>101.4</v>
      </c>
      <c r="O56">
        <v>118.3</v>
      </c>
      <c r="P56">
        <v>113.2</v>
      </c>
      <c r="Q56">
        <v>122.4</v>
      </c>
      <c r="R56">
        <v>122</v>
      </c>
      <c r="S56">
        <v>119</v>
      </c>
      <c r="T56">
        <v>117.4</v>
      </c>
      <c r="U56">
        <v>113.2</v>
      </c>
      <c r="V56">
        <v>116.7</v>
      </c>
      <c r="W56">
        <v>113.9</v>
      </c>
      <c r="X56">
        <v>111.2</v>
      </c>
      <c r="Y56">
        <v>114.3</v>
      </c>
      <c r="Z56">
        <v>111.4</v>
      </c>
      <c r="AA56">
        <v>111.5</v>
      </c>
      <c r="AB56">
        <v>111.8</v>
      </c>
      <c r="AC56">
        <v>115.1</v>
      </c>
      <c r="AD56">
        <v>108.7</v>
      </c>
      <c r="AE56">
        <v>112.2</v>
      </c>
      <c r="AF56">
        <v>116.4</v>
      </c>
    </row>
    <row r="57" spans="2:32" x14ac:dyDescent="0.3">
      <c r="B57" t="s">
        <v>34</v>
      </c>
      <c r="C57">
        <v>2014</v>
      </c>
      <c r="D57" t="s">
        <v>39</v>
      </c>
      <c r="E57" s="40" t="s">
        <v>226</v>
      </c>
      <c r="F57">
        <v>121.5</v>
      </c>
      <c r="G57">
        <v>123.1</v>
      </c>
      <c r="H57">
        <v>115.8</v>
      </c>
      <c r="I57">
        <v>119.7</v>
      </c>
      <c r="J57">
        <v>107.8</v>
      </c>
      <c r="K57">
        <v>128.30000000000001</v>
      </c>
      <c r="L57">
        <v>132.1</v>
      </c>
      <c r="M57">
        <v>112.4</v>
      </c>
      <c r="N57">
        <v>102.9</v>
      </c>
      <c r="O57">
        <v>114.3</v>
      </c>
      <c r="P57">
        <v>114.2</v>
      </c>
      <c r="Q57">
        <v>121.2</v>
      </c>
      <c r="R57">
        <v>120.4</v>
      </c>
      <c r="S57">
        <v>117.8</v>
      </c>
      <c r="T57">
        <v>118.8</v>
      </c>
      <c r="U57">
        <v>115.6</v>
      </c>
      <c r="V57">
        <v>118.3</v>
      </c>
      <c r="W57">
        <v>113.9</v>
      </c>
      <c r="X57">
        <v>113.2</v>
      </c>
      <c r="Y57">
        <v>114.6</v>
      </c>
      <c r="Z57">
        <v>112.3</v>
      </c>
      <c r="AA57">
        <v>111.8</v>
      </c>
      <c r="AB57">
        <v>111.6</v>
      </c>
      <c r="AC57">
        <v>114.8</v>
      </c>
      <c r="AD57">
        <v>108.3</v>
      </c>
      <c r="AE57">
        <v>112.3</v>
      </c>
      <c r="AF57">
        <v>116.7</v>
      </c>
    </row>
    <row r="58" spans="2:32" x14ac:dyDescent="0.3">
      <c r="B58" t="s">
        <v>30</v>
      </c>
      <c r="C58">
        <v>2014</v>
      </c>
      <c r="D58" t="s">
        <v>40</v>
      </c>
      <c r="E58" s="40" t="s">
        <v>227</v>
      </c>
      <c r="F58">
        <v>121.7</v>
      </c>
      <c r="G58">
        <v>122.5</v>
      </c>
      <c r="H58">
        <v>117.7</v>
      </c>
      <c r="I58">
        <v>120.6</v>
      </c>
      <c r="J58">
        <v>110.4</v>
      </c>
      <c r="K58">
        <v>129.1</v>
      </c>
      <c r="L58">
        <v>150.1</v>
      </c>
      <c r="M58">
        <v>113.2</v>
      </c>
      <c r="N58">
        <v>104.8</v>
      </c>
      <c r="O58">
        <v>113.3</v>
      </c>
      <c r="P58">
        <v>115.6</v>
      </c>
      <c r="Q58">
        <v>120.9</v>
      </c>
      <c r="R58">
        <v>123.3</v>
      </c>
      <c r="S58">
        <v>118</v>
      </c>
      <c r="T58">
        <v>120.7</v>
      </c>
      <c r="U58">
        <v>118.3</v>
      </c>
      <c r="V58">
        <v>120.3</v>
      </c>
      <c r="W58">
        <v>114.8</v>
      </c>
      <c r="X58">
        <v>115.3</v>
      </c>
      <c r="Y58">
        <v>115.4</v>
      </c>
      <c r="Z58">
        <v>113.4</v>
      </c>
      <c r="AA58">
        <v>113.2</v>
      </c>
      <c r="AB58">
        <v>111.8</v>
      </c>
      <c r="AC58">
        <v>115.5</v>
      </c>
      <c r="AD58">
        <v>108.8</v>
      </c>
      <c r="AE58">
        <v>113.1</v>
      </c>
      <c r="AF58">
        <v>119.5</v>
      </c>
    </row>
    <row r="59" spans="2:32" x14ac:dyDescent="0.3">
      <c r="B59" t="s">
        <v>33</v>
      </c>
      <c r="C59">
        <v>2014</v>
      </c>
      <c r="D59" t="s">
        <v>40</v>
      </c>
      <c r="E59" s="40" t="s">
        <v>227</v>
      </c>
      <c r="F59">
        <v>123.8</v>
      </c>
      <c r="G59">
        <v>126.4</v>
      </c>
      <c r="H59">
        <v>118</v>
      </c>
      <c r="I59">
        <v>121.6</v>
      </c>
      <c r="J59">
        <v>103.5</v>
      </c>
      <c r="K59">
        <v>133.69999999999999</v>
      </c>
      <c r="L59">
        <v>172.4</v>
      </c>
      <c r="M59">
        <v>113.1</v>
      </c>
      <c r="N59">
        <v>102.7</v>
      </c>
      <c r="O59">
        <v>120</v>
      </c>
      <c r="P59">
        <v>113.8</v>
      </c>
      <c r="Q59">
        <v>123.4</v>
      </c>
      <c r="R59">
        <v>127.1</v>
      </c>
      <c r="S59">
        <v>121</v>
      </c>
      <c r="T59">
        <v>118</v>
      </c>
      <c r="U59">
        <v>113.6</v>
      </c>
      <c r="V59">
        <v>117.4</v>
      </c>
      <c r="W59">
        <v>114.8</v>
      </c>
      <c r="X59">
        <v>111.6</v>
      </c>
      <c r="Y59">
        <v>114.9</v>
      </c>
      <c r="Z59">
        <v>111.5</v>
      </c>
      <c r="AA59">
        <v>113</v>
      </c>
      <c r="AB59">
        <v>112.4</v>
      </c>
      <c r="AC59">
        <v>117.8</v>
      </c>
      <c r="AD59">
        <v>109.7</v>
      </c>
      <c r="AE59">
        <v>113.5</v>
      </c>
      <c r="AF59">
        <v>118.9</v>
      </c>
    </row>
    <row r="60" spans="2:32" x14ac:dyDescent="0.3">
      <c r="B60" t="s">
        <v>34</v>
      </c>
      <c r="C60">
        <v>2014</v>
      </c>
      <c r="D60" t="s">
        <v>40</v>
      </c>
      <c r="E60" s="40" t="s">
        <v>227</v>
      </c>
      <c r="F60">
        <v>122.4</v>
      </c>
      <c r="G60">
        <v>123.9</v>
      </c>
      <c r="H60">
        <v>117.8</v>
      </c>
      <c r="I60">
        <v>121</v>
      </c>
      <c r="J60">
        <v>107.9</v>
      </c>
      <c r="K60">
        <v>131.19999999999999</v>
      </c>
      <c r="L60">
        <v>157.69999999999999</v>
      </c>
      <c r="M60">
        <v>113.2</v>
      </c>
      <c r="N60">
        <v>104.1</v>
      </c>
      <c r="O60">
        <v>115.5</v>
      </c>
      <c r="P60">
        <v>114.8</v>
      </c>
      <c r="Q60">
        <v>122.1</v>
      </c>
      <c r="R60">
        <v>124.7</v>
      </c>
      <c r="S60">
        <v>118.8</v>
      </c>
      <c r="T60">
        <v>119.6</v>
      </c>
      <c r="U60">
        <v>116.3</v>
      </c>
      <c r="V60">
        <v>119.1</v>
      </c>
      <c r="W60">
        <v>114.8</v>
      </c>
      <c r="X60">
        <v>113.9</v>
      </c>
      <c r="Y60">
        <v>115.2</v>
      </c>
      <c r="Z60">
        <v>112.7</v>
      </c>
      <c r="AA60">
        <v>113.1</v>
      </c>
      <c r="AB60">
        <v>112.1</v>
      </c>
      <c r="AC60">
        <v>116.8</v>
      </c>
      <c r="AD60">
        <v>109.2</v>
      </c>
      <c r="AE60">
        <v>113.3</v>
      </c>
      <c r="AF60">
        <v>119.2</v>
      </c>
    </row>
    <row r="61" spans="2:32" x14ac:dyDescent="0.3">
      <c r="B61" t="s">
        <v>30</v>
      </c>
      <c r="C61">
        <v>2014</v>
      </c>
      <c r="D61" t="s">
        <v>41</v>
      </c>
      <c r="E61" s="40" t="s">
        <v>228</v>
      </c>
      <c r="F61">
        <v>121.8</v>
      </c>
      <c r="G61">
        <v>122.8</v>
      </c>
      <c r="H61">
        <v>117.8</v>
      </c>
      <c r="I61">
        <v>121.9</v>
      </c>
      <c r="J61">
        <v>110.6</v>
      </c>
      <c r="K61">
        <v>129.69999999999999</v>
      </c>
      <c r="L61">
        <v>161.1</v>
      </c>
      <c r="M61">
        <v>114.1</v>
      </c>
      <c r="N61">
        <v>105.1</v>
      </c>
      <c r="O61">
        <v>114.6</v>
      </c>
      <c r="P61">
        <v>115.8</v>
      </c>
      <c r="Q61">
        <v>121.7</v>
      </c>
      <c r="R61">
        <v>125.3</v>
      </c>
      <c r="S61">
        <v>118.8</v>
      </c>
      <c r="T61">
        <v>120.9</v>
      </c>
      <c r="U61">
        <v>118.8</v>
      </c>
      <c r="V61">
        <v>120.7</v>
      </c>
      <c r="W61">
        <v>115.5</v>
      </c>
      <c r="X61">
        <v>115.4</v>
      </c>
      <c r="Y61">
        <v>115.9</v>
      </c>
      <c r="Z61">
        <v>114</v>
      </c>
      <c r="AA61">
        <v>113.2</v>
      </c>
      <c r="AB61">
        <v>112.2</v>
      </c>
      <c r="AC61">
        <v>116.2</v>
      </c>
      <c r="AD61">
        <v>109.4</v>
      </c>
      <c r="AE61">
        <v>113.5</v>
      </c>
      <c r="AF61">
        <v>120.7</v>
      </c>
    </row>
    <row r="62" spans="2:32" x14ac:dyDescent="0.3">
      <c r="B62" t="s">
        <v>33</v>
      </c>
      <c r="C62">
        <v>2014</v>
      </c>
      <c r="D62" t="s">
        <v>41</v>
      </c>
      <c r="E62" s="40" t="s">
        <v>228</v>
      </c>
      <c r="F62">
        <v>124.8</v>
      </c>
      <c r="G62">
        <v>127.3</v>
      </c>
      <c r="H62">
        <v>116.5</v>
      </c>
      <c r="I62">
        <v>122.2</v>
      </c>
      <c r="J62">
        <v>103.6</v>
      </c>
      <c r="K62">
        <v>132.69999999999999</v>
      </c>
      <c r="L62">
        <v>181.9</v>
      </c>
      <c r="M62">
        <v>115.2</v>
      </c>
      <c r="N62">
        <v>102.7</v>
      </c>
      <c r="O62">
        <v>122.1</v>
      </c>
      <c r="P62">
        <v>114.4</v>
      </c>
      <c r="Q62">
        <v>124.7</v>
      </c>
      <c r="R62">
        <v>128.9</v>
      </c>
      <c r="S62">
        <v>123</v>
      </c>
      <c r="T62">
        <v>118.6</v>
      </c>
      <c r="U62">
        <v>114.1</v>
      </c>
      <c r="V62">
        <v>117.9</v>
      </c>
      <c r="W62">
        <v>115.5</v>
      </c>
      <c r="X62">
        <v>111.8</v>
      </c>
      <c r="Y62">
        <v>115.3</v>
      </c>
      <c r="Z62">
        <v>112.2</v>
      </c>
      <c r="AA62">
        <v>112.5</v>
      </c>
      <c r="AB62">
        <v>112.9</v>
      </c>
      <c r="AC62">
        <v>119.2</v>
      </c>
      <c r="AD62">
        <v>110.5</v>
      </c>
      <c r="AE62">
        <v>113.9</v>
      </c>
      <c r="AF62">
        <v>119.9</v>
      </c>
    </row>
    <row r="63" spans="2:32" x14ac:dyDescent="0.3">
      <c r="B63" t="s">
        <v>34</v>
      </c>
      <c r="C63">
        <v>2014</v>
      </c>
      <c r="D63" t="s">
        <v>41</v>
      </c>
      <c r="E63" s="40" t="s">
        <v>228</v>
      </c>
      <c r="F63">
        <v>122.7</v>
      </c>
      <c r="G63">
        <v>124.4</v>
      </c>
      <c r="H63">
        <v>117.3</v>
      </c>
      <c r="I63">
        <v>122</v>
      </c>
      <c r="J63">
        <v>108</v>
      </c>
      <c r="K63">
        <v>131.1</v>
      </c>
      <c r="L63">
        <v>168.2</v>
      </c>
      <c r="M63">
        <v>114.5</v>
      </c>
      <c r="N63">
        <v>104.3</v>
      </c>
      <c r="O63">
        <v>117.1</v>
      </c>
      <c r="P63">
        <v>115.2</v>
      </c>
      <c r="Q63">
        <v>123.1</v>
      </c>
      <c r="R63">
        <v>126.6</v>
      </c>
      <c r="S63">
        <v>119.9</v>
      </c>
      <c r="T63">
        <v>120</v>
      </c>
      <c r="U63">
        <v>116.8</v>
      </c>
      <c r="V63">
        <v>119.6</v>
      </c>
      <c r="W63">
        <v>115.5</v>
      </c>
      <c r="X63">
        <v>114</v>
      </c>
      <c r="Y63">
        <v>115.6</v>
      </c>
      <c r="Z63">
        <v>113.3</v>
      </c>
      <c r="AA63">
        <v>112.8</v>
      </c>
      <c r="AB63">
        <v>112.6</v>
      </c>
      <c r="AC63">
        <v>118</v>
      </c>
      <c r="AD63">
        <v>109.9</v>
      </c>
      <c r="AE63">
        <v>113.7</v>
      </c>
      <c r="AF63">
        <v>120.3</v>
      </c>
    </row>
    <row r="64" spans="2:32" x14ac:dyDescent="0.3">
      <c r="B64" t="s">
        <v>30</v>
      </c>
      <c r="C64">
        <v>2014</v>
      </c>
      <c r="D64" t="s">
        <v>42</v>
      </c>
      <c r="E64" s="40" t="s">
        <v>229</v>
      </c>
      <c r="F64">
        <v>122.3</v>
      </c>
      <c r="G64">
        <v>122.4</v>
      </c>
      <c r="H64">
        <v>117.8</v>
      </c>
      <c r="I64">
        <v>122.7</v>
      </c>
      <c r="J64">
        <v>110.4</v>
      </c>
      <c r="K64">
        <v>129.80000000000001</v>
      </c>
      <c r="L64">
        <v>158.80000000000001</v>
      </c>
      <c r="M64">
        <v>115</v>
      </c>
      <c r="N64">
        <v>104.7</v>
      </c>
      <c r="O64">
        <v>114.9</v>
      </c>
      <c r="P64">
        <v>116.5</v>
      </c>
      <c r="Q64">
        <v>122.6</v>
      </c>
      <c r="R64">
        <v>125.3</v>
      </c>
      <c r="S64">
        <v>119.5</v>
      </c>
      <c r="T64">
        <v>121.7</v>
      </c>
      <c r="U64">
        <v>119.2</v>
      </c>
      <c r="V64">
        <v>121.3</v>
      </c>
      <c r="W64">
        <v>116.1</v>
      </c>
      <c r="X64">
        <v>115.8</v>
      </c>
      <c r="Y64">
        <v>116.7</v>
      </c>
      <c r="Z64">
        <v>114.5</v>
      </c>
      <c r="AA64">
        <v>112.8</v>
      </c>
      <c r="AB64">
        <v>112.6</v>
      </c>
      <c r="AC64">
        <v>116.6</v>
      </c>
      <c r="AD64">
        <v>109.1</v>
      </c>
      <c r="AE64">
        <v>113.7</v>
      </c>
      <c r="AF64">
        <v>120.9</v>
      </c>
    </row>
    <row r="65" spans="2:32" x14ac:dyDescent="0.3">
      <c r="B65" t="s">
        <v>33</v>
      </c>
      <c r="C65">
        <v>2014</v>
      </c>
      <c r="D65" t="s">
        <v>42</v>
      </c>
      <c r="E65" s="40" t="s">
        <v>229</v>
      </c>
      <c r="F65">
        <v>124.2</v>
      </c>
      <c r="G65">
        <v>125.4</v>
      </c>
      <c r="H65">
        <v>116.4</v>
      </c>
      <c r="I65">
        <v>122.7</v>
      </c>
      <c r="J65">
        <v>103.5</v>
      </c>
      <c r="K65">
        <v>124.5</v>
      </c>
      <c r="L65">
        <v>168.6</v>
      </c>
      <c r="M65">
        <v>116.9</v>
      </c>
      <c r="N65">
        <v>101.9</v>
      </c>
      <c r="O65">
        <v>122.9</v>
      </c>
      <c r="P65">
        <v>114.8</v>
      </c>
      <c r="Q65">
        <v>125.2</v>
      </c>
      <c r="R65">
        <v>126.7</v>
      </c>
      <c r="S65">
        <v>124.3</v>
      </c>
      <c r="T65">
        <v>119.2</v>
      </c>
      <c r="U65">
        <v>114.5</v>
      </c>
      <c r="V65">
        <v>118.4</v>
      </c>
      <c r="W65">
        <v>116.1</v>
      </c>
      <c r="X65">
        <v>111.8</v>
      </c>
      <c r="Y65">
        <v>115.5</v>
      </c>
      <c r="Z65">
        <v>112.3</v>
      </c>
      <c r="AA65">
        <v>111.2</v>
      </c>
      <c r="AB65">
        <v>113.4</v>
      </c>
      <c r="AC65">
        <v>120</v>
      </c>
      <c r="AD65">
        <v>110</v>
      </c>
      <c r="AE65">
        <v>113.6</v>
      </c>
      <c r="AF65">
        <v>119.2</v>
      </c>
    </row>
    <row r="66" spans="2:32" x14ac:dyDescent="0.3">
      <c r="B66" t="s">
        <v>34</v>
      </c>
      <c r="C66">
        <v>2014</v>
      </c>
      <c r="D66" t="s">
        <v>42</v>
      </c>
      <c r="E66" s="40" t="s">
        <v>229</v>
      </c>
      <c r="F66">
        <v>122.9</v>
      </c>
      <c r="G66">
        <v>123.5</v>
      </c>
      <c r="H66">
        <v>117.3</v>
      </c>
      <c r="I66">
        <v>122.7</v>
      </c>
      <c r="J66">
        <v>107.9</v>
      </c>
      <c r="K66">
        <v>127.3</v>
      </c>
      <c r="L66">
        <v>162.1</v>
      </c>
      <c r="M66">
        <v>115.6</v>
      </c>
      <c r="N66">
        <v>103.8</v>
      </c>
      <c r="O66">
        <v>117.6</v>
      </c>
      <c r="P66">
        <v>115.8</v>
      </c>
      <c r="Q66">
        <v>123.8</v>
      </c>
      <c r="R66">
        <v>125.8</v>
      </c>
      <c r="S66">
        <v>120.8</v>
      </c>
      <c r="T66">
        <v>120.7</v>
      </c>
      <c r="U66">
        <v>117.2</v>
      </c>
      <c r="V66">
        <v>120.1</v>
      </c>
      <c r="W66">
        <v>116.1</v>
      </c>
      <c r="X66">
        <v>114.3</v>
      </c>
      <c r="Y66">
        <v>116.1</v>
      </c>
      <c r="Z66">
        <v>113.7</v>
      </c>
      <c r="AA66">
        <v>112</v>
      </c>
      <c r="AB66">
        <v>113.1</v>
      </c>
      <c r="AC66">
        <v>118.6</v>
      </c>
      <c r="AD66">
        <v>109.5</v>
      </c>
      <c r="AE66">
        <v>113.7</v>
      </c>
      <c r="AF66">
        <v>120.1</v>
      </c>
    </row>
    <row r="67" spans="2:32" x14ac:dyDescent="0.3">
      <c r="B67" t="s">
        <v>30</v>
      </c>
      <c r="C67">
        <v>2014</v>
      </c>
      <c r="D67" t="s">
        <v>43</v>
      </c>
      <c r="E67" s="40" t="s">
        <v>230</v>
      </c>
      <c r="F67">
        <v>122.6</v>
      </c>
      <c r="G67">
        <v>122.5</v>
      </c>
      <c r="H67">
        <v>118.3</v>
      </c>
      <c r="I67">
        <v>123.2</v>
      </c>
      <c r="J67">
        <v>110.5</v>
      </c>
      <c r="K67">
        <v>128.9</v>
      </c>
      <c r="L67">
        <v>155.30000000000001</v>
      </c>
      <c r="M67">
        <v>115.5</v>
      </c>
      <c r="N67">
        <v>104</v>
      </c>
      <c r="O67">
        <v>115.3</v>
      </c>
      <c r="P67">
        <v>116.8</v>
      </c>
      <c r="Q67">
        <v>123.2</v>
      </c>
      <c r="R67">
        <v>125.1</v>
      </c>
      <c r="S67">
        <v>120</v>
      </c>
      <c r="T67">
        <v>122.7</v>
      </c>
      <c r="U67">
        <v>120.3</v>
      </c>
      <c r="V67">
        <v>122.3</v>
      </c>
      <c r="W67">
        <v>116.7</v>
      </c>
      <c r="X67">
        <v>116.4</v>
      </c>
      <c r="Y67">
        <v>117.5</v>
      </c>
      <c r="Z67">
        <v>115.3</v>
      </c>
      <c r="AA67">
        <v>112.6</v>
      </c>
      <c r="AB67">
        <v>113</v>
      </c>
      <c r="AC67">
        <v>116.9</v>
      </c>
      <c r="AD67">
        <v>109.3</v>
      </c>
      <c r="AE67">
        <v>114</v>
      </c>
      <c r="AF67">
        <v>121</v>
      </c>
    </row>
    <row r="68" spans="2:32" x14ac:dyDescent="0.3">
      <c r="B68" t="s">
        <v>33</v>
      </c>
      <c r="C68">
        <v>2014</v>
      </c>
      <c r="D68" t="s">
        <v>43</v>
      </c>
      <c r="E68" s="40" t="s">
        <v>230</v>
      </c>
      <c r="F68">
        <v>124.6</v>
      </c>
      <c r="G68">
        <v>126.1</v>
      </c>
      <c r="H68">
        <v>117.8</v>
      </c>
      <c r="I68">
        <v>123.1</v>
      </c>
      <c r="J68">
        <v>103.5</v>
      </c>
      <c r="K68">
        <v>123.5</v>
      </c>
      <c r="L68">
        <v>159.6</v>
      </c>
      <c r="M68">
        <v>117.4</v>
      </c>
      <c r="N68">
        <v>101.2</v>
      </c>
      <c r="O68">
        <v>123.8</v>
      </c>
      <c r="P68">
        <v>115.2</v>
      </c>
      <c r="Q68">
        <v>125.9</v>
      </c>
      <c r="R68">
        <v>125.8</v>
      </c>
      <c r="S68">
        <v>124.3</v>
      </c>
      <c r="T68">
        <v>119.6</v>
      </c>
      <c r="U68">
        <v>114.9</v>
      </c>
      <c r="V68">
        <v>118.9</v>
      </c>
      <c r="W68">
        <v>116.7</v>
      </c>
      <c r="X68">
        <v>112</v>
      </c>
      <c r="Y68">
        <v>115.8</v>
      </c>
      <c r="Z68">
        <v>112.6</v>
      </c>
      <c r="AA68">
        <v>111</v>
      </c>
      <c r="AB68">
        <v>113.6</v>
      </c>
      <c r="AC68">
        <v>120.2</v>
      </c>
      <c r="AD68">
        <v>110.1</v>
      </c>
      <c r="AE68">
        <v>113.7</v>
      </c>
      <c r="AF68">
        <v>119.1</v>
      </c>
    </row>
    <row r="69" spans="2:32" x14ac:dyDescent="0.3">
      <c r="B69" t="s">
        <v>34</v>
      </c>
      <c r="C69">
        <v>2014</v>
      </c>
      <c r="D69" t="s">
        <v>43</v>
      </c>
      <c r="E69" s="40" t="s">
        <v>230</v>
      </c>
      <c r="F69">
        <v>123.2</v>
      </c>
      <c r="G69">
        <v>123.8</v>
      </c>
      <c r="H69">
        <v>118.1</v>
      </c>
      <c r="I69">
        <v>123.2</v>
      </c>
      <c r="J69">
        <v>107.9</v>
      </c>
      <c r="K69">
        <v>126.4</v>
      </c>
      <c r="L69">
        <v>156.80000000000001</v>
      </c>
      <c r="M69">
        <v>116.1</v>
      </c>
      <c r="N69">
        <v>103.1</v>
      </c>
      <c r="O69">
        <v>118.1</v>
      </c>
      <c r="P69">
        <v>116.1</v>
      </c>
      <c r="Q69">
        <v>124.5</v>
      </c>
      <c r="R69">
        <v>125.4</v>
      </c>
      <c r="S69">
        <v>121.1</v>
      </c>
      <c r="T69">
        <v>121.5</v>
      </c>
      <c r="U69">
        <v>118.1</v>
      </c>
      <c r="V69">
        <v>121</v>
      </c>
      <c r="W69">
        <v>116.7</v>
      </c>
      <c r="X69">
        <v>114.7</v>
      </c>
      <c r="Y69">
        <v>116.7</v>
      </c>
      <c r="Z69">
        <v>114.3</v>
      </c>
      <c r="AA69">
        <v>111.8</v>
      </c>
      <c r="AB69">
        <v>113.3</v>
      </c>
      <c r="AC69">
        <v>118.8</v>
      </c>
      <c r="AD69">
        <v>109.6</v>
      </c>
      <c r="AE69">
        <v>113.9</v>
      </c>
      <c r="AF69">
        <v>120.1</v>
      </c>
    </row>
    <row r="70" spans="2:32" x14ac:dyDescent="0.3">
      <c r="B70" t="s">
        <v>30</v>
      </c>
      <c r="C70">
        <v>2014</v>
      </c>
      <c r="D70" t="s">
        <v>45</v>
      </c>
      <c r="E70" s="40" t="s">
        <v>231</v>
      </c>
      <c r="F70">
        <v>122.7</v>
      </c>
      <c r="G70">
        <v>122.6</v>
      </c>
      <c r="H70">
        <v>119.9</v>
      </c>
      <c r="I70">
        <v>124</v>
      </c>
      <c r="J70">
        <v>110.5</v>
      </c>
      <c r="K70">
        <v>128.80000000000001</v>
      </c>
      <c r="L70">
        <v>152</v>
      </c>
      <c r="M70">
        <v>116.2</v>
      </c>
      <c r="N70">
        <v>103.3</v>
      </c>
      <c r="O70">
        <v>115.8</v>
      </c>
      <c r="P70">
        <v>116.8</v>
      </c>
      <c r="Q70">
        <v>124.5</v>
      </c>
      <c r="R70">
        <v>124.9</v>
      </c>
      <c r="S70">
        <v>120.8</v>
      </c>
      <c r="T70">
        <v>123.3</v>
      </c>
      <c r="U70">
        <v>120.5</v>
      </c>
      <c r="V70">
        <v>122.9</v>
      </c>
      <c r="W70">
        <v>117.1</v>
      </c>
      <c r="X70">
        <v>117.3</v>
      </c>
      <c r="Y70">
        <v>118.1</v>
      </c>
      <c r="Z70">
        <v>115.9</v>
      </c>
      <c r="AA70">
        <v>112</v>
      </c>
      <c r="AB70">
        <v>113.3</v>
      </c>
      <c r="AC70">
        <v>117.2</v>
      </c>
      <c r="AD70">
        <v>108.8</v>
      </c>
      <c r="AE70">
        <v>114.1</v>
      </c>
      <c r="AF70">
        <v>121.1</v>
      </c>
    </row>
    <row r="71" spans="2:32" x14ac:dyDescent="0.3">
      <c r="B71" t="s">
        <v>33</v>
      </c>
      <c r="C71">
        <v>2014</v>
      </c>
      <c r="D71" t="s">
        <v>45</v>
      </c>
      <c r="E71" s="40" t="s">
        <v>231</v>
      </c>
      <c r="F71">
        <v>124.5</v>
      </c>
      <c r="G71">
        <v>125.6</v>
      </c>
      <c r="H71">
        <v>122.7</v>
      </c>
      <c r="I71">
        <v>124.6</v>
      </c>
      <c r="J71">
        <v>103.2</v>
      </c>
      <c r="K71">
        <v>122.2</v>
      </c>
      <c r="L71">
        <v>153.19999999999999</v>
      </c>
      <c r="M71">
        <v>119.3</v>
      </c>
      <c r="N71">
        <v>99.8</v>
      </c>
      <c r="O71">
        <v>124.6</v>
      </c>
      <c r="P71">
        <v>115.8</v>
      </c>
      <c r="Q71">
        <v>126.9</v>
      </c>
      <c r="R71">
        <v>125.4</v>
      </c>
      <c r="S71">
        <v>125.8</v>
      </c>
      <c r="T71">
        <v>120.3</v>
      </c>
      <c r="U71">
        <v>115.4</v>
      </c>
      <c r="V71">
        <v>119.5</v>
      </c>
      <c r="W71">
        <v>117.1</v>
      </c>
      <c r="X71">
        <v>112.6</v>
      </c>
      <c r="Y71">
        <v>116.4</v>
      </c>
      <c r="Z71">
        <v>113</v>
      </c>
      <c r="AA71">
        <v>109.7</v>
      </c>
      <c r="AB71">
        <v>114</v>
      </c>
      <c r="AC71">
        <v>120.3</v>
      </c>
      <c r="AD71">
        <v>109.6</v>
      </c>
      <c r="AE71">
        <v>113.4</v>
      </c>
      <c r="AF71">
        <v>119</v>
      </c>
    </row>
    <row r="72" spans="2:32" x14ac:dyDescent="0.3">
      <c r="B72" t="s">
        <v>34</v>
      </c>
      <c r="C72">
        <v>2014</v>
      </c>
      <c r="D72" t="s">
        <v>45</v>
      </c>
      <c r="E72" s="40" t="s">
        <v>231</v>
      </c>
      <c r="F72">
        <v>123.3</v>
      </c>
      <c r="G72">
        <v>123.7</v>
      </c>
      <c r="H72">
        <v>121</v>
      </c>
      <c r="I72">
        <v>124.2</v>
      </c>
      <c r="J72">
        <v>107.8</v>
      </c>
      <c r="K72">
        <v>125.7</v>
      </c>
      <c r="L72">
        <v>152.4</v>
      </c>
      <c r="M72">
        <v>117.2</v>
      </c>
      <c r="N72">
        <v>102.1</v>
      </c>
      <c r="O72">
        <v>118.7</v>
      </c>
      <c r="P72">
        <v>116.4</v>
      </c>
      <c r="Q72">
        <v>125.6</v>
      </c>
      <c r="R72">
        <v>125.1</v>
      </c>
      <c r="S72">
        <v>122.1</v>
      </c>
      <c r="T72">
        <v>122.1</v>
      </c>
      <c r="U72">
        <v>118.4</v>
      </c>
      <c r="V72">
        <v>121.6</v>
      </c>
      <c r="W72">
        <v>117.1</v>
      </c>
      <c r="X72">
        <v>115.5</v>
      </c>
      <c r="Y72">
        <v>117.3</v>
      </c>
      <c r="Z72">
        <v>114.8</v>
      </c>
      <c r="AA72">
        <v>110.8</v>
      </c>
      <c r="AB72">
        <v>113.7</v>
      </c>
      <c r="AC72">
        <v>119</v>
      </c>
      <c r="AD72">
        <v>109.1</v>
      </c>
      <c r="AE72">
        <v>113.8</v>
      </c>
      <c r="AF72">
        <v>120.1</v>
      </c>
    </row>
    <row r="73" spans="2:32" x14ac:dyDescent="0.3">
      <c r="B73" t="s">
        <v>30</v>
      </c>
      <c r="C73">
        <v>2014</v>
      </c>
      <c r="D73" t="s">
        <v>46</v>
      </c>
      <c r="E73" s="40" t="s">
        <v>232</v>
      </c>
      <c r="F73">
        <v>122.4</v>
      </c>
      <c r="G73">
        <v>122.4</v>
      </c>
      <c r="H73">
        <v>121.8</v>
      </c>
      <c r="I73">
        <v>124.2</v>
      </c>
      <c r="J73">
        <v>110.2</v>
      </c>
      <c r="K73">
        <v>128.6</v>
      </c>
      <c r="L73">
        <v>140.30000000000001</v>
      </c>
      <c r="M73">
        <v>116.3</v>
      </c>
      <c r="N73">
        <v>102</v>
      </c>
      <c r="O73">
        <v>116</v>
      </c>
      <c r="P73">
        <v>117.3</v>
      </c>
      <c r="Q73">
        <v>124.8</v>
      </c>
      <c r="R73">
        <v>123.3</v>
      </c>
      <c r="S73">
        <v>121.7</v>
      </c>
      <c r="T73">
        <v>123.8</v>
      </c>
      <c r="U73">
        <v>120.6</v>
      </c>
      <c r="V73">
        <v>123.3</v>
      </c>
      <c r="W73">
        <v>116.5</v>
      </c>
      <c r="X73">
        <v>117.4</v>
      </c>
      <c r="Y73">
        <v>118.2</v>
      </c>
      <c r="Z73">
        <v>116.2</v>
      </c>
      <c r="AA73">
        <v>111.5</v>
      </c>
      <c r="AB73">
        <v>113.3</v>
      </c>
      <c r="AC73">
        <v>117.7</v>
      </c>
      <c r="AD73">
        <v>109.4</v>
      </c>
      <c r="AE73">
        <v>114.2</v>
      </c>
      <c r="AF73">
        <v>120.3</v>
      </c>
    </row>
    <row r="74" spans="2:32" x14ac:dyDescent="0.3">
      <c r="B74" t="s">
        <v>33</v>
      </c>
      <c r="C74">
        <v>2014</v>
      </c>
      <c r="D74" t="s">
        <v>46</v>
      </c>
      <c r="E74" s="40" t="s">
        <v>232</v>
      </c>
      <c r="F74">
        <v>124</v>
      </c>
      <c r="G74">
        <v>124.7</v>
      </c>
      <c r="H74">
        <v>126.3</v>
      </c>
      <c r="I74">
        <v>124.9</v>
      </c>
      <c r="J74">
        <v>103</v>
      </c>
      <c r="K74">
        <v>122.3</v>
      </c>
      <c r="L74">
        <v>141</v>
      </c>
      <c r="M74">
        <v>120.1</v>
      </c>
      <c r="N74">
        <v>97.8</v>
      </c>
      <c r="O74">
        <v>125.4</v>
      </c>
      <c r="P74">
        <v>116.1</v>
      </c>
      <c r="Q74">
        <v>127.6</v>
      </c>
      <c r="R74">
        <v>124</v>
      </c>
      <c r="S74">
        <v>126.4</v>
      </c>
      <c r="T74">
        <v>120.7</v>
      </c>
      <c r="U74">
        <v>115.8</v>
      </c>
      <c r="V74">
        <v>120</v>
      </c>
      <c r="W74">
        <v>116.5</v>
      </c>
      <c r="X74">
        <v>113</v>
      </c>
      <c r="Y74">
        <v>116.8</v>
      </c>
      <c r="Z74">
        <v>113.2</v>
      </c>
      <c r="AA74">
        <v>108.8</v>
      </c>
      <c r="AB74">
        <v>114.3</v>
      </c>
      <c r="AC74">
        <v>120.7</v>
      </c>
      <c r="AD74">
        <v>110.4</v>
      </c>
      <c r="AE74">
        <v>113.4</v>
      </c>
      <c r="AF74">
        <v>118.4</v>
      </c>
    </row>
    <row r="75" spans="2:32" x14ac:dyDescent="0.3">
      <c r="B75" t="s">
        <v>34</v>
      </c>
      <c r="C75">
        <v>2014</v>
      </c>
      <c r="D75" t="s">
        <v>46</v>
      </c>
      <c r="E75" s="40" t="s">
        <v>232</v>
      </c>
      <c r="F75">
        <v>122.9</v>
      </c>
      <c r="G75">
        <v>123.2</v>
      </c>
      <c r="H75">
        <v>123.5</v>
      </c>
      <c r="I75">
        <v>124.5</v>
      </c>
      <c r="J75">
        <v>107.6</v>
      </c>
      <c r="K75">
        <v>125.7</v>
      </c>
      <c r="L75">
        <v>140.5</v>
      </c>
      <c r="M75">
        <v>117.6</v>
      </c>
      <c r="N75">
        <v>100.6</v>
      </c>
      <c r="O75">
        <v>119.1</v>
      </c>
      <c r="P75">
        <v>116.8</v>
      </c>
      <c r="Q75">
        <v>126.1</v>
      </c>
      <c r="R75">
        <v>123.6</v>
      </c>
      <c r="S75">
        <v>123</v>
      </c>
      <c r="T75">
        <v>122.6</v>
      </c>
      <c r="U75">
        <v>118.6</v>
      </c>
      <c r="V75">
        <v>122</v>
      </c>
      <c r="W75">
        <v>116.5</v>
      </c>
      <c r="X75">
        <v>115.7</v>
      </c>
      <c r="Y75">
        <v>117.5</v>
      </c>
      <c r="Z75">
        <v>115.1</v>
      </c>
      <c r="AA75">
        <v>110.1</v>
      </c>
      <c r="AB75">
        <v>113.9</v>
      </c>
      <c r="AC75">
        <v>119.5</v>
      </c>
      <c r="AD75">
        <v>109.8</v>
      </c>
      <c r="AE75">
        <v>113.8</v>
      </c>
      <c r="AF75">
        <v>119.4</v>
      </c>
    </row>
    <row r="76" spans="2:32" x14ac:dyDescent="0.3">
      <c r="B76" t="s">
        <v>30</v>
      </c>
      <c r="C76">
        <v>2015</v>
      </c>
      <c r="D76" t="s">
        <v>31</v>
      </c>
      <c r="E76" s="40" t="s">
        <v>233</v>
      </c>
      <c r="F76">
        <v>123.1</v>
      </c>
      <c r="G76">
        <v>123.1</v>
      </c>
      <c r="H76">
        <v>122.1</v>
      </c>
      <c r="I76">
        <v>124.9</v>
      </c>
      <c r="J76">
        <v>111</v>
      </c>
      <c r="K76">
        <v>130.4</v>
      </c>
      <c r="L76">
        <v>132.30000000000001</v>
      </c>
      <c r="M76">
        <v>117.2</v>
      </c>
      <c r="N76">
        <v>100.5</v>
      </c>
      <c r="O76">
        <v>117.2</v>
      </c>
      <c r="P76">
        <v>117.9</v>
      </c>
      <c r="Q76">
        <v>125.6</v>
      </c>
      <c r="R76">
        <v>122.8</v>
      </c>
      <c r="S76">
        <v>122.7</v>
      </c>
      <c r="T76">
        <v>124.4</v>
      </c>
      <c r="U76">
        <v>121.6</v>
      </c>
      <c r="V76">
        <v>124</v>
      </c>
      <c r="W76">
        <v>117.3</v>
      </c>
      <c r="X76">
        <v>118.4</v>
      </c>
      <c r="Y76">
        <v>118.9</v>
      </c>
      <c r="Z76">
        <v>116.6</v>
      </c>
      <c r="AA76">
        <v>111</v>
      </c>
      <c r="AB76">
        <v>114</v>
      </c>
      <c r="AC76">
        <v>118.2</v>
      </c>
      <c r="AD76">
        <v>110.2</v>
      </c>
      <c r="AE76">
        <v>114.5</v>
      </c>
      <c r="AF76">
        <v>120.3</v>
      </c>
    </row>
    <row r="77" spans="2:32" x14ac:dyDescent="0.3">
      <c r="B77" t="s">
        <v>33</v>
      </c>
      <c r="C77">
        <v>2015</v>
      </c>
      <c r="D77" t="s">
        <v>31</v>
      </c>
      <c r="E77" s="40" t="s">
        <v>233</v>
      </c>
      <c r="F77">
        <v>124</v>
      </c>
      <c r="G77">
        <v>125.5</v>
      </c>
      <c r="H77">
        <v>126.6</v>
      </c>
      <c r="I77">
        <v>125.2</v>
      </c>
      <c r="J77">
        <v>104.3</v>
      </c>
      <c r="K77">
        <v>121.3</v>
      </c>
      <c r="L77">
        <v>134.4</v>
      </c>
      <c r="M77">
        <v>122.9</v>
      </c>
      <c r="N77">
        <v>96.1</v>
      </c>
      <c r="O77">
        <v>126.6</v>
      </c>
      <c r="P77">
        <v>116.5</v>
      </c>
      <c r="Q77">
        <v>128</v>
      </c>
      <c r="R77">
        <v>123.5</v>
      </c>
      <c r="S77">
        <v>127.4</v>
      </c>
      <c r="T77">
        <v>121</v>
      </c>
      <c r="U77">
        <v>116.1</v>
      </c>
      <c r="V77">
        <v>120.2</v>
      </c>
      <c r="W77">
        <v>117.3</v>
      </c>
      <c r="X77">
        <v>113.4</v>
      </c>
      <c r="Y77">
        <v>117.2</v>
      </c>
      <c r="Z77">
        <v>113.7</v>
      </c>
      <c r="AA77">
        <v>107.9</v>
      </c>
      <c r="AB77">
        <v>114.6</v>
      </c>
      <c r="AC77">
        <v>120.8</v>
      </c>
      <c r="AD77">
        <v>111.4</v>
      </c>
      <c r="AE77">
        <v>113.4</v>
      </c>
      <c r="AF77">
        <v>118.5</v>
      </c>
    </row>
    <row r="78" spans="2:32" x14ac:dyDescent="0.3">
      <c r="B78" t="s">
        <v>34</v>
      </c>
      <c r="C78">
        <v>2015</v>
      </c>
      <c r="D78" t="s">
        <v>31</v>
      </c>
      <c r="E78" s="40" t="s">
        <v>233</v>
      </c>
      <c r="F78">
        <v>123.4</v>
      </c>
      <c r="G78">
        <v>123.9</v>
      </c>
      <c r="H78">
        <v>123.8</v>
      </c>
      <c r="I78">
        <v>125</v>
      </c>
      <c r="J78">
        <v>108.5</v>
      </c>
      <c r="K78">
        <v>126.2</v>
      </c>
      <c r="L78">
        <v>133</v>
      </c>
      <c r="M78">
        <v>119.1</v>
      </c>
      <c r="N78">
        <v>99</v>
      </c>
      <c r="O78">
        <v>120.3</v>
      </c>
      <c r="P78">
        <v>117.3</v>
      </c>
      <c r="Q78">
        <v>126.7</v>
      </c>
      <c r="R78">
        <v>123.1</v>
      </c>
      <c r="S78">
        <v>124</v>
      </c>
      <c r="T78">
        <v>123.1</v>
      </c>
      <c r="U78">
        <v>119.3</v>
      </c>
      <c r="V78">
        <v>122.5</v>
      </c>
      <c r="W78">
        <v>117.3</v>
      </c>
      <c r="X78">
        <v>116.5</v>
      </c>
      <c r="Y78">
        <v>118.1</v>
      </c>
      <c r="Z78">
        <v>115.5</v>
      </c>
      <c r="AA78">
        <v>109.4</v>
      </c>
      <c r="AB78">
        <v>114.3</v>
      </c>
      <c r="AC78">
        <v>119.7</v>
      </c>
      <c r="AD78">
        <v>110.7</v>
      </c>
      <c r="AE78">
        <v>114</v>
      </c>
      <c r="AF78">
        <v>119.5</v>
      </c>
    </row>
    <row r="79" spans="2:32" x14ac:dyDescent="0.3">
      <c r="B79" t="s">
        <v>30</v>
      </c>
      <c r="C79">
        <v>2015</v>
      </c>
      <c r="D79" t="s">
        <v>35</v>
      </c>
      <c r="E79" s="40" t="s">
        <v>234</v>
      </c>
      <c r="F79">
        <v>123.4</v>
      </c>
      <c r="G79">
        <v>124.4</v>
      </c>
      <c r="H79">
        <v>122.1</v>
      </c>
      <c r="I79">
        <v>125.8</v>
      </c>
      <c r="J79">
        <v>111.5</v>
      </c>
      <c r="K79">
        <v>129.4</v>
      </c>
      <c r="L79">
        <v>128.19999999999999</v>
      </c>
      <c r="M79">
        <v>118.8</v>
      </c>
      <c r="N79">
        <v>100</v>
      </c>
      <c r="O79">
        <v>118.6</v>
      </c>
      <c r="P79">
        <v>118.8</v>
      </c>
      <c r="Q79">
        <v>126.8</v>
      </c>
      <c r="R79">
        <v>122.8</v>
      </c>
      <c r="S79">
        <v>124.2</v>
      </c>
      <c r="T79">
        <v>125.4</v>
      </c>
      <c r="U79">
        <v>122.7</v>
      </c>
      <c r="V79">
        <v>125</v>
      </c>
      <c r="W79">
        <v>118.1</v>
      </c>
      <c r="X79">
        <v>120</v>
      </c>
      <c r="Y79">
        <v>119.6</v>
      </c>
      <c r="Z79">
        <v>117.7</v>
      </c>
      <c r="AA79">
        <v>110.9</v>
      </c>
      <c r="AB79">
        <v>114.8</v>
      </c>
      <c r="AC79">
        <v>118.7</v>
      </c>
      <c r="AD79">
        <v>110.8</v>
      </c>
      <c r="AE79">
        <v>115</v>
      </c>
      <c r="AF79">
        <v>120.6</v>
      </c>
    </row>
    <row r="80" spans="2:32" x14ac:dyDescent="0.3">
      <c r="B80" t="s">
        <v>33</v>
      </c>
      <c r="C80">
        <v>2015</v>
      </c>
      <c r="D80" t="s">
        <v>35</v>
      </c>
      <c r="E80" s="40" t="s">
        <v>234</v>
      </c>
      <c r="F80">
        <v>124.3</v>
      </c>
      <c r="G80">
        <v>126.5</v>
      </c>
      <c r="H80">
        <v>119.5</v>
      </c>
      <c r="I80">
        <v>125.6</v>
      </c>
      <c r="J80">
        <v>104.9</v>
      </c>
      <c r="K80">
        <v>121.6</v>
      </c>
      <c r="L80">
        <v>131.80000000000001</v>
      </c>
      <c r="M80">
        <v>125.1</v>
      </c>
      <c r="N80">
        <v>95</v>
      </c>
      <c r="O80">
        <v>127.7</v>
      </c>
      <c r="P80">
        <v>116.8</v>
      </c>
      <c r="Q80">
        <v>128.6</v>
      </c>
      <c r="R80">
        <v>123.7</v>
      </c>
      <c r="S80">
        <v>128.1</v>
      </c>
      <c r="T80">
        <v>121.3</v>
      </c>
      <c r="U80">
        <v>116.5</v>
      </c>
      <c r="V80">
        <v>120.6</v>
      </c>
      <c r="W80">
        <v>118.1</v>
      </c>
      <c r="X80">
        <v>114</v>
      </c>
      <c r="Y80">
        <v>117.7</v>
      </c>
      <c r="Z80">
        <v>114.1</v>
      </c>
      <c r="AA80">
        <v>106.8</v>
      </c>
      <c r="AB80">
        <v>114.9</v>
      </c>
      <c r="AC80">
        <v>120.4</v>
      </c>
      <c r="AD80">
        <v>111.7</v>
      </c>
      <c r="AE80">
        <v>113.2</v>
      </c>
      <c r="AF80">
        <v>118.7</v>
      </c>
    </row>
    <row r="81" spans="2:32" x14ac:dyDescent="0.3">
      <c r="B81" t="s">
        <v>34</v>
      </c>
      <c r="C81">
        <v>2015</v>
      </c>
      <c r="D81" t="s">
        <v>35</v>
      </c>
      <c r="E81" s="40" t="s">
        <v>234</v>
      </c>
      <c r="F81">
        <v>123.7</v>
      </c>
      <c r="G81">
        <v>125.1</v>
      </c>
      <c r="H81">
        <v>121.1</v>
      </c>
      <c r="I81">
        <v>125.7</v>
      </c>
      <c r="J81">
        <v>109.1</v>
      </c>
      <c r="K81">
        <v>125.8</v>
      </c>
      <c r="L81">
        <v>129.4</v>
      </c>
      <c r="M81">
        <v>120.9</v>
      </c>
      <c r="N81">
        <v>98.3</v>
      </c>
      <c r="O81">
        <v>121.6</v>
      </c>
      <c r="P81">
        <v>118</v>
      </c>
      <c r="Q81">
        <v>127.6</v>
      </c>
      <c r="R81">
        <v>123.1</v>
      </c>
      <c r="S81">
        <v>125.2</v>
      </c>
      <c r="T81">
        <v>123.8</v>
      </c>
      <c r="U81">
        <v>120.1</v>
      </c>
      <c r="V81">
        <v>123.3</v>
      </c>
      <c r="W81">
        <v>118.1</v>
      </c>
      <c r="X81">
        <v>117.7</v>
      </c>
      <c r="Y81">
        <v>118.7</v>
      </c>
      <c r="Z81">
        <v>116.3</v>
      </c>
      <c r="AA81">
        <v>108.7</v>
      </c>
      <c r="AB81">
        <v>114.9</v>
      </c>
      <c r="AC81">
        <v>119.7</v>
      </c>
      <c r="AD81">
        <v>111.2</v>
      </c>
      <c r="AE81">
        <v>114.1</v>
      </c>
      <c r="AF81">
        <v>119.7</v>
      </c>
    </row>
    <row r="82" spans="2:32" x14ac:dyDescent="0.3">
      <c r="B82" t="s">
        <v>30</v>
      </c>
      <c r="C82">
        <v>2015</v>
      </c>
      <c r="D82" t="s">
        <v>36</v>
      </c>
      <c r="E82" s="40" t="s">
        <v>235</v>
      </c>
      <c r="F82">
        <v>123.3</v>
      </c>
      <c r="G82">
        <v>124.7</v>
      </c>
      <c r="H82">
        <v>118.9</v>
      </c>
      <c r="I82">
        <v>126</v>
      </c>
      <c r="J82">
        <v>111.8</v>
      </c>
      <c r="K82">
        <v>130.9</v>
      </c>
      <c r="L82">
        <v>128</v>
      </c>
      <c r="M82">
        <v>119.9</v>
      </c>
      <c r="N82">
        <v>98.9</v>
      </c>
      <c r="O82">
        <v>119.4</v>
      </c>
      <c r="P82">
        <v>118.9</v>
      </c>
      <c r="Q82">
        <v>127.7</v>
      </c>
      <c r="R82">
        <v>123.1</v>
      </c>
      <c r="S82">
        <v>124.7</v>
      </c>
      <c r="T82">
        <v>126</v>
      </c>
      <c r="U82">
        <v>122.9</v>
      </c>
      <c r="V82">
        <v>125.5</v>
      </c>
      <c r="W82">
        <v>118.6</v>
      </c>
      <c r="X82">
        <v>120.6</v>
      </c>
      <c r="Y82">
        <v>120.2</v>
      </c>
      <c r="Z82">
        <v>118.2</v>
      </c>
      <c r="AA82">
        <v>111.6</v>
      </c>
      <c r="AB82">
        <v>115.5</v>
      </c>
      <c r="AC82">
        <v>119.4</v>
      </c>
      <c r="AD82">
        <v>110.8</v>
      </c>
      <c r="AE82">
        <v>115.5</v>
      </c>
      <c r="AF82">
        <v>121.1</v>
      </c>
    </row>
    <row r="83" spans="2:32" x14ac:dyDescent="0.3">
      <c r="B83" t="s">
        <v>33</v>
      </c>
      <c r="C83">
        <v>2015</v>
      </c>
      <c r="D83" t="s">
        <v>36</v>
      </c>
      <c r="E83" s="40" t="s">
        <v>235</v>
      </c>
      <c r="F83">
        <v>124</v>
      </c>
      <c r="G83">
        <v>126.7</v>
      </c>
      <c r="H83">
        <v>113.5</v>
      </c>
      <c r="I83">
        <v>125.9</v>
      </c>
      <c r="J83">
        <v>104.8</v>
      </c>
      <c r="K83">
        <v>123.8</v>
      </c>
      <c r="L83">
        <v>131.4</v>
      </c>
      <c r="M83">
        <v>127.2</v>
      </c>
      <c r="N83">
        <v>93.2</v>
      </c>
      <c r="O83">
        <v>127.4</v>
      </c>
      <c r="P83">
        <v>117</v>
      </c>
      <c r="Q83">
        <v>129.19999999999999</v>
      </c>
      <c r="R83">
        <v>123.9</v>
      </c>
      <c r="S83">
        <v>128.80000000000001</v>
      </c>
      <c r="T83">
        <v>121.7</v>
      </c>
      <c r="U83">
        <v>116.9</v>
      </c>
      <c r="V83">
        <v>120.9</v>
      </c>
      <c r="W83">
        <v>118.6</v>
      </c>
      <c r="X83">
        <v>114.4</v>
      </c>
      <c r="Y83">
        <v>118</v>
      </c>
      <c r="Z83">
        <v>114.3</v>
      </c>
      <c r="AA83">
        <v>108.4</v>
      </c>
      <c r="AB83">
        <v>115.4</v>
      </c>
      <c r="AC83">
        <v>120.6</v>
      </c>
      <c r="AD83">
        <v>111.3</v>
      </c>
      <c r="AE83">
        <v>113.8</v>
      </c>
      <c r="AF83">
        <v>119.1</v>
      </c>
    </row>
    <row r="84" spans="2:32" x14ac:dyDescent="0.3">
      <c r="B84" t="s">
        <v>34</v>
      </c>
      <c r="C84">
        <v>2015</v>
      </c>
      <c r="D84" t="s">
        <v>36</v>
      </c>
      <c r="E84" s="40" t="s">
        <v>235</v>
      </c>
      <c r="F84">
        <v>123.5</v>
      </c>
      <c r="G84">
        <v>125.4</v>
      </c>
      <c r="H84">
        <v>116.8</v>
      </c>
      <c r="I84">
        <v>126</v>
      </c>
      <c r="J84">
        <v>109.2</v>
      </c>
      <c r="K84">
        <v>127.6</v>
      </c>
      <c r="L84">
        <v>129.19999999999999</v>
      </c>
      <c r="M84">
        <v>122.4</v>
      </c>
      <c r="N84">
        <v>97</v>
      </c>
      <c r="O84">
        <v>122.1</v>
      </c>
      <c r="P84">
        <v>118.1</v>
      </c>
      <c r="Q84">
        <v>128.4</v>
      </c>
      <c r="R84">
        <v>123.4</v>
      </c>
      <c r="S84">
        <v>125.8</v>
      </c>
      <c r="T84">
        <v>124.3</v>
      </c>
      <c r="U84">
        <v>120.4</v>
      </c>
      <c r="V84">
        <v>123.7</v>
      </c>
      <c r="W84">
        <v>118.6</v>
      </c>
      <c r="X84">
        <v>118.3</v>
      </c>
      <c r="Y84">
        <v>119.2</v>
      </c>
      <c r="Z84">
        <v>116.7</v>
      </c>
      <c r="AA84">
        <v>109.9</v>
      </c>
      <c r="AB84">
        <v>115.4</v>
      </c>
      <c r="AC84">
        <v>120.1</v>
      </c>
      <c r="AD84">
        <v>111</v>
      </c>
      <c r="AE84">
        <v>114.7</v>
      </c>
      <c r="AF84">
        <v>120.2</v>
      </c>
    </row>
    <row r="85" spans="2:32" x14ac:dyDescent="0.3">
      <c r="B85" t="s">
        <v>30</v>
      </c>
      <c r="C85">
        <v>2015</v>
      </c>
      <c r="D85" t="s">
        <v>37</v>
      </c>
      <c r="E85" s="40" t="s">
        <v>236</v>
      </c>
      <c r="F85">
        <v>123.3</v>
      </c>
      <c r="G85">
        <v>125.5</v>
      </c>
      <c r="H85">
        <v>117.2</v>
      </c>
      <c r="I85">
        <v>126.8</v>
      </c>
      <c r="J85">
        <v>111.9</v>
      </c>
      <c r="K85">
        <v>134.19999999999999</v>
      </c>
      <c r="L85">
        <v>127.5</v>
      </c>
      <c r="M85">
        <v>121.5</v>
      </c>
      <c r="N85">
        <v>97.8</v>
      </c>
      <c r="O85">
        <v>119.8</v>
      </c>
      <c r="P85">
        <v>119.4</v>
      </c>
      <c r="Q85">
        <v>128.69999999999999</v>
      </c>
      <c r="R85">
        <v>123.6</v>
      </c>
      <c r="S85">
        <v>125.7</v>
      </c>
      <c r="T85">
        <v>126.4</v>
      </c>
      <c r="U85">
        <v>123.3</v>
      </c>
      <c r="V85">
        <v>126</v>
      </c>
      <c r="W85">
        <v>119.2</v>
      </c>
      <c r="X85">
        <v>121.2</v>
      </c>
      <c r="Y85">
        <v>120.9</v>
      </c>
      <c r="Z85">
        <v>118.6</v>
      </c>
      <c r="AA85">
        <v>111.9</v>
      </c>
      <c r="AB85">
        <v>116.2</v>
      </c>
      <c r="AC85">
        <v>119.9</v>
      </c>
      <c r="AD85">
        <v>111.6</v>
      </c>
      <c r="AE85">
        <v>116</v>
      </c>
      <c r="AF85">
        <v>121.5</v>
      </c>
    </row>
    <row r="86" spans="2:32" x14ac:dyDescent="0.3">
      <c r="B86" t="s">
        <v>33</v>
      </c>
      <c r="C86">
        <v>2015</v>
      </c>
      <c r="D86" t="s">
        <v>37</v>
      </c>
      <c r="E86" s="40" t="s">
        <v>236</v>
      </c>
      <c r="F86">
        <v>123.8</v>
      </c>
      <c r="G86">
        <v>128.19999999999999</v>
      </c>
      <c r="H86">
        <v>110</v>
      </c>
      <c r="I86">
        <v>126.3</v>
      </c>
      <c r="J86">
        <v>104.5</v>
      </c>
      <c r="K86">
        <v>130.6</v>
      </c>
      <c r="L86">
        <v>130.80000000000001</v>
      </c>
      <c r="M86">
        <v>131.30000000000001</v>
      </c>
      <c r="N86">
        <v>91.6</v>
      </c>
      <c r="O86">
        <v>127.7</v>
      </c>
      <c r="P86">
        <v>117.2</v>
      </c>
      <c r="Q86">
        <v>129.5</v>
      </c>
      <c r="R86">
        <v>124.6</v>
      </c>
      <c r="S86">
        <v>130.1</v>
      </c>
      <c r="T86">
        <v>122.1</v>
      </c>
      <c r="U86">
        <v>117.2</v>
      </c>
      <c r="V86">
        <v>121.3</v>
      </c>
      <c r="W86">
        <v>119.2</v>
      </c>
      <c r="X86">
        <v>114.7</v>
      </c>
      <c r="Y86">
        <v>118.4</v>
      </c>
      <c r="Z86">
        <v>114.6</v>
      </c>
      <c r="AA86">
        <v>108.4</v>
      </c>
      <c r="AB86">
        <v>115.6</v>
      </c>
      <c r="AC86">
        <v>121.7</v>
      </c>
      <c r="AD86">
        <v>111.8</v>
      </c>
      <c r="AE86">
        <v>114.2</v>
      </c>
      <c r="AF86">
        <v>119.7</v>
      </c>
    </row>
    <row r="87" spans="2:32" x14ac:dyDescent="0.3">
      <c r="B87" t="s">
        <v>34</v>
      </c>
      <c r="C87">
        <v>2015</v>
      </c>
      <c r="D87" t="s">
        <v>37</v>
      </c>
      <c r="E87" s="40" t="s">
        <v>236</v>
      </c>
      <c r="F87">
        <v>123.5</v>
      </c>
      <c r="G87">
        <v>126.4</v>
      </c>
      <c r="H87">
        <v>114.4</v>
      </c>
      <c r="I87">
        <v>126.6</v>
      </c>
      <c r="J87">
        <v>109.2</v>
      </c>
      <c r="K87">
        <v>132.5</v>
      </c>
      <c r="L87">
        <v>128.6</v>
      </c>
      <c r="M87">
        <v>124.8</v>
      </c>
      <c r="N87">
        <v>95.7</v>
      </c>
      <c r="O87">
        <v>122.4</v>
      </c>
      <c r="P87">
        <v>118.5</v>
      </c>
      <c r="Q87">
        <v>129.1</v>
      </c>
      <c r="R87">
        <v>124</v>
      </c>
      <c r="S87">
        <v>126.9</v>
      </c>
      <c r="T87">
        <v>124.7</v>
      </c>
      <c r="U87">
        <v>120.8</v>
      </c>
      <c r="V87">
        <v>124.1</v>
      </c>
      <c r="W87">
        <v>119.2</v>
      </c>
      <c r="X87">
        <v>118.7</v>
      </c>
      <c r="Y87">
        <v>119.7</v>
      </c>
      <c r="Z87">
        <v>117.1</v>
      </c>
      <c r="AA87">
        <v>110.1</v>
      </c>
      <c r="AB87">
        <v>115.9</v>
      </c>
      <c r="AC87">
        <v>121</v>
      </c>
      <c r="AD87">
        <v>111.7</v>
      </c>
      <c r="AE87">
        <v>115.1</v>
      </c>
      <c r="AF87">
        <v>120.7</v>
      </c>
    </row>
    <row r="88" spans="2:32" x14ac:dyDescent="0.3">
      <c r="B88" t="s">
        <v>30</v>
      </c>
      <c r="C88">
        <v>2015</v>
      </c>
      <c r="D88" t="s">
        <v>38</v>
      </c>
      <c r="E88" s="40" t="s">
        <v>237</v>
      </c>
      <c r="F88">
        <v>123.5</v>
      </c>
      <c r="G88">
        <v>127.1</v>
      </c>
      <c r="H88">
        <v>117.3</v>
      </c>
      <c r="I88">
        <v>127.7</v>
      </c>
      <c r="J88">
        <v>112.5</v>
      </c>
      <c r="K88">
        <v>134.1</v>
      </c>
      <c r="L88">
        <v>128.5</v>
      </c>
      <c r="M88">
        <v>124.3</v>
      </c>
      <c r="N88">
        <v>97.6</v>
      </c>
      <c r="O88">
        <v>120.7</v>
      </c>
      <c r="P88">
        <v>120.2</v>
      </c>
      <c r="Q88">
        <v>129.80000000000001</v>
      </c>
      <c r="R88">
        <v>124.4</v>
      </c>
      <c r="S88">
        <v>126.7</v>
      </c>
      <c r="T88">
        <v>127.3</v>
      </c>
      <c r="U88">
        <v>124.1</v>
      </c>
      <c r="V88">
        <v>126.8</v>
      </c>
      <c r="W88">
        <v>119.6</v>
      </c>
      <c r="X88">
        <v>121.9</v>
      </c>
      <c r="Y88">
        <v>121.5</v>
      </c>
      <c r="Z88">
        <v>119.4</v>
      </c>
      <c r="AA88">
        <v>113.3</v>
      </c>
      <c r="AB88">
        <v>116.7</v>
      </c>
      <c r="AC88">
        <v>120.5</v>
      </c>
      <c r="AD88">
        <v>112.3</v>
      </c>
      <c r="AE88">
        <v>116.9</v>
      </c>
      <c r="AF88">
        <v>122.4</v>
      </c>
    </row>
    <row r="89" spans="2:32" x14ac:dyDescent="0.3">
      <c r="B89" t="s">
        <v>33</v>
      </c>
      <c r="C89">
        <v>2015</v>
      </c>
      <c r="D89" t="s">
        <v>38</v>
      </c>
      <c r="E89" s="40" t="s">
        <v>237</v>
      </c>
      <c r="F89">
        <v>123.8</v>
      </c>
      <c r="G89">
        <v>129.69999999999999</v>
      </c>
      <c r="H89">
        <v>111.3</v>
      </c>
      <c r="I89">
        <v>126.6</v>
      </c>
      <c r="J89">
        <v>105.2</v>
      </c>
      <c r="K89">
        <v>130.80000000000001</v>
      </c>
      <c r="L89">
        <v>135.6</v>
      </c>
      <c r="M89">
        <v>142.6</v>
      </c>
      <c r="N89">
        <v>90.8</v>
      </c>
      <c r="O89">
        <v>128.80000000000001</v>
      </c>
      <c r="P89">
        <v>117.7</v>
      </c>
      <c r="Q89">
        <v>129.9</v>
      </c>
      <c r="R89">
        <v>126.1</v>
      </c>
      <c r="S89">
        <v>131.30000000000001</v>
      </c>
      <c r="T89">
        <v>122.4</v>
      </c>
      <c r="U89">
        <v>117.4</v>
      </c>
      <c r="V89">
        <v>121.6</v>
      </c>
      <c r="W89">
        <v>119.6</v>
      </c>
      <c r="X89">
        <v>114.9</v>
      </c>
      <c r="Y89">
        <v>118.7</v>
      </c>
      <c r="Z89">
        <v>114.9</v>
      </c>
      <c r="AA89">
        <v>110.8</v>
      </c>
      <c r="AB89">
        <v>116</v>
      </c>
      <c r="AC89">
        <v>122</v>
      </c>
      <c r="AD89">
        <v>112.4</v>
      </c>
      <c r="AE89">
        <v>115.2</v>
      </c>
      <c r="AF89">
        <v>120.7</v>
      </c>
    </row>
    <row r="90" spans="2:32" x14ac:dyDescent="0.3">
      <c r="B90" t="s">
        <v>34</v>
      </c>
      <c r="C90">
        <v>2015</v>
      </c>
      <c r="D90" t="s">
        <v>38</v>
      </c>
      <c r="E90" s="40" t="s">
        <v>237</v>
      </c>
      <c r="F90">
        <v>123.6</v>
      </c>
      <c r="G90">
        <v>128</v>
      </c>
      <c r="H90">
        <v>115</v>
      </c>
      <c r="I90">
        <v>127.3</v>
      </c>
      <c r="J90">
        <v>109.8</v>
      </c>
      <c r="K90">
        <v>132.6</v>
      </c>
      <c r="L90">
        <v>130.9</v>
      </c>
      <c r="M90">
        <v>130.5</v>
      </c>
      <c r="N90">
        <v>95.3</v>
      </c>
      <c r="O90">
        <v>123.4</v>
      </c>
      <c r="P90">
        <v>119.2</v>
      </c>
      <c r="Q90">
        <v>129.80000000000001</v>
      </c>
      <c r="R90">
        <v>125</v>
      </c>
      <c r="S90">
        <v>127.9</v>
      </c>
      <c r="T90">
        <v>125.4</v>
      </c>
      <c r="U90">
        <v>121.3</v>
      </c>
      <c r="V90">
        <v>124.7</v>
      </c>
      <c r="W90">
        <v>119.6</v>
      </c>
      <c r="X90">
        <v>119.2</v>
      </c>
      <c r="Y90">
        <v>120.2</v>
      </c>
      <c r="Z90">
        <v>117.7</v>
      </c>
      <c r="AA90">
        <v>112</v>
      </c>
      <c r="AB90">
        <v>116.3</v>
      </c>
      <c r="AC90">
        <v>121.4</v>
      </c>
      <c r="AD90">
        <v>112.3</v>
      </c>
      <c r="AE90">
        <v>116.1</v>
      </c>
      <c r="AF90">
        <v>121.6</v>
      </c>
    </row>
    <row r="91" spans="2:32" x14ac:dyDescent="0.3">
      <c r="B91" t="s">
        <v>30</v>
      </c>
      <c r="C91">
        <v>2015</v>
      </c>
      <c r="D91" t="s">
        <v>39</v>
      </c>
      <c r="E91" s="40" t="s">
        <v>238</v>
      </c>
      <c r="F91">
        <v>124.1</v>
      </c>
      <c r="G91">
        <v>130.4</v>
      </c>
      <c r="H91">
        <v>122.1</v>
      </c>
      <c r="I91">
        <v>128.69999999999999</v>
      </c>
      <c r="J91">
        <v>114.1</v>
      </c>
      <c r="K91">
        <v>133.19999999999999</v>
      </c>
      <c r="L91">
        <v>135.19999999999999</v>
      </c>
      <c r="M91">
        <v>131.9</v>
      </c>
      <c r="N91">
        <v>96.3</v>
      </c>
      <c r="O91">
        <v>123</v>
      </c>
      <c r="P91">
        <v>121.1</v>
      </c>
      <c r="Q91">
        <v>131.19999999999999</v>
      </c>
      <c r="R91">
        <v>126.6</v>
      </c>
      <c r="S91">
        <v>128.19999999999999</v>
      </c>
      <c r="T91">
        <v>128.4</v>
      </c>
      <c r="U91">
        <v>125.1</v>
      </c>
      <c r="V91">
        <v>128</v>
      </c>
      <c r="W91">
        <v>119</v>
      </c>
      <c r="X91">
        <v>122.6</v>
      </c>
      <c r="Y91">
        <v>122.8</v>
      </c>
      <c r="Z91">
        <v>120.4</v>
      </c>
      <c r="AA91">
        <v>114.2</v>
      </c>
      <c r="AB91">
        <v>117.9</v>
      </c>
      <c r="AC91">
        <v>122</v>
      </c>
      <c r="AD91">
        <v>113</v>
      </c>
      <c r="AE91">
        <v>117.9</v>
      </c>
      <c r="AF91">
        <v>124.1</v>
      </c>
    </row>
    <row r="92" spans="2:32" x14ac:dyDescent="0.3">
      <c r="B92" t="s">
        <v>33</v>
      </c>
      <c r="C92">
        <v>2015</v>
      </c>
      <c r="D92" t="s">
        <v>39</v>
      </c>
      <c r="E92" s="40" t="s">
        <v>238</v>
      </c>
      <c r="F92">
        <v>123.6</v>
      </c>
      <c r="G92">
        <v>134.4</v>
      </c>
      <c r="H92">
        <v>120.9</v>
      </c>
      <c r="I92">
        <v>127.3</v>
      </c>
      <c r="J92">
        <v>106</v>
      </c>
      <c r="K92">
        <v>132.30000000000001</v>
      </c>
      <c r="L92">
        <v>146.69999999999999</v>
      </c>
      <c r="M92">
        <v>148.1</v>
      </c>
      <c r="N92">
        <v>89.8</v>
      </c>
      <c r="O92">
        <v>130.5</v>
      </c>
      <c r="P92">
        <v>118</v>
      </c>
      <c r="Q92">
        <v>130.5</v>
      </c>
      <c r="R92">
        <v>128.5</v>
      </c>
      <c r="S92">
        <v>132.1</v>
      </c>
      <c r="T92">
        <v>123.2</v>
      </c>
      <c r="U92">
        <v>117.6</v>
      </c>
      <c r="V92">
        <v>122.3</v>
      </c>
      <c r="W92">
        <v>119</v>
      </c>
      <c r="X92">
        <v>115.1</v>
      </c>
      <c r="Y92">
        <v>119.2</v>
      </c>
      <c r="Z92">
        <v>115.4</v>
      </c>
      <c r="AA92">
        <v>111.7</v>
      </c>
      <c r="AB92">
        <v>116.2</v>
      </c>
      <c r="AC92">
        <v>123.8</v>
      </c>
      <c r="AD92">
        <v>112.5</v>
      </c>
      <c r="AE92">
        <v>116</v>
      </c>
      <c r="AF92">
        <v>121.7</v>
      </c>
    </row>
    <row r="93" spans="2:32" x14ac:dyDescent="0.3">
      <c r="B93" t="s">
        <v>34</v>
      </c>
      <c r="C93">
        <v>2015</v>
      </c>
      <c r="D93" t="s">
        <v>39</v>
      </c>
      <c r="E93" s="40" t="s">
        <v>238</v>
      </c>
      <c r="F93">
        <v>123.9</v>
      </c>
      <c r="G93">
        <v>131.80000000000001</v>
      </c>
      <c r="H93">
        <v>121.6</v>
      </c>
      <c r="I93">
        <v>128.19999999999999</v>
      </c>
      <c r="J93">
        <v>111.1</v>
      </c>
      <c r="K93">
        <v>132.80000000000001</v>
      </c>
      <c r="L93">
        <v>139.1</v>
      </c>
      <c r="M93">
        <v>137.4</v>
      </c>
      <c r="N93">
        <v>94.1</v>
      </c>
      <c r="O93">
        <v>125.5</v>
      </c>
      <c r="P93">
        <v>119.8</v>
      </c>
      <c r="Q93">
        <v>130.9</v>
      </c>
      <c r="R93">
        <v>127.3</v>
      </c>
      <c r="S93">
        <v>129.19999999999999</v>
      </c>
      <c r="T93">
        <v>126.4</v>
      </c>
      <c r="U93">
        <v>122</v>
      </c>
      <c r="V93">
        <v>125.7</v>
      </c>
      <c r="W93">
        <v>119</v>
      </c>
      <c r="X93">
        <v>119.8</v>
      </c>
      <c r="Y93">
        <v>121.1</v>
      </c>
      <c r="Z93">
        <v>118.5</v>
      </c>
      <c r="AA93">
        <v>112.9</v>
      </c>
      <c r="AB93">
        <v>116.9</v>
      </c>
      <c r="AC93">
        <v>123.1</v>
      </c>
      <c r="AD93">
        <v>112.8</v>
      </c>
      <c r="AE93">
        <v>117</v>
      </c>
      <c r="AF93">
        <v>123</v>
      </c>
    </row>
    <row r="94" spans="2:32" x14ac:dyDescent="0.3">
      <c r="B94" t="s">
        <v>30</v>
      </c>
      <c r="C94">
        <v>2015</v>
      </c>
      <c r="D94" t="s">
        <v>40</v>
      </c>
      <c r="E94" s="40" t="s">
        <v>239</v>
      </c>
      <c r="F94">
        <v>124</v>
      </c>
      <c r="G94">
        <v>131.5</v>
      </c>
      <c r="H94">
        <v>122</v>
      </c>
      <c r="I94">
        <v>128.69999999999999</v>
      </c>
      <c r="J94">
        <v>113.5</v>
      </c>
      <c r="K94">
        <v>133.30000000000001</v>
      </c>
      <c r="L94">
        <v>140.80000000000001</v>
      </c>
      <c r="M94">
        <v>133.80000000000001</v>
      </c>
      <c r="N94">
        <v>94.1</v>
      </c>
      <c r="O94">
        <v>123.4</v>
      </c>
      <c r="P94">
        <v>121</v>
      </c>
      <c r="Q94">
        <v>131.69999999999999</v>
      </c>
      <c r="R94">
        <v>127.5</v>
      </c>
      <c r="S94">
        <v>129.4</v>
      </c>
      <c r="T94">
        <v>128.80000000000001</v>
      </c>
      <c r="U94">
        <v>125.5</v>
      </c>
      <c r="V94">
        <v>128.30000000000001</v>
      </c>
      <c r="W94">
        <v>119.9</v>
      </c>
      <c r="X94">
        <v>123</v>
      </c>
      <c r="Y94">
        <v>123</v>
      </c>
      <c r="Z94">
        <v>120.8</v>
      </c>
      <c r="AA94">
        <v>114.1</v>
      </c>
      <c r="AB94">
        <v>118</v>
      </c>
      <c r="AC94">
        <v>122.9</v>
      </c>
      <c r="AD94">
        <v>112.7</v>
      </c>
      <c r="AE94">
        <v>118.1</v>
      </c>
      <c r="AF94">
        <v>124.7</v>
      </c>
    </row>
    <row r="95" spans="2:32" x14ac:dyDescent="0.3">
      <c r="B95" t="s">
        <v>33</v>
      </c>
      <c r="C95">
        <v>2015</v>
      </c>
      <c r="D95" t="s">
        <v>40</v>
      </c>
      <c r="E95" s="40" t="s">
        <v>239</v>
      </c>
      <c r="F95">
        <v>123.2</v>
      </c>
      <c r="G95">
        <v>134.30000000000001</v>
      </c>
      <c r="H95">
        <v>119.5</v>
      </c>
      <c r="I95">
        <v>127.7</v>
      </c>
      <c r="J95">
        <v>106.3</v>
      </c>
      <c r="K95">
        <v>132.80000000000001</v>
      </c>
      <c r="L95">
        <v>153.5</v>
      </c>
      <c r="M95">
        <v>149.5</v>
      </c>
      <c r="N95">
        <v>85.7</v>
      </c>
      <c r="O95">
        <v>131.5</v>
      </c>
      <c r="P95">
        <v>118.3</v>
      </c>
      <c r="Q95">
        <v>131.1</v>
      </c>
      <c r="R95">
        <v>129.5</v>
      </c>
      <c r="S95">
        <v>133.1</v>
      </c>
      <c r="T95">
        <v>123.5</v>
      </c>
      <c r="U95">
        <v>117.9</v>
      </c>
      <c r="V95">
        <v>122.7</v>
      </c>
      <c r="W95">
        <v>119.9</v>
      </c>
      <c r="X95">
        <v>115.3</v>
      </c>
      <c r="Y95">
        <v>119.5</v>
      </c>
      <c r="Z95">
        <v>116</v>
      </c>
      <c r="AA95">
        <v>111.5</v>
      </c>
      <c r="AB95">
        <v>116.6</v>
      </c>
      <c r="AC95">
        <v>125.4</v>
      </c>
      <c r="AD95">
        <v>111.7</v>
      </c>
      <c r="AE95">
        <v>116.3</v>
      </c>
      <c r="AF95">
        <v>122.4</v>
      </c>
    </row>
    <row r="96" spans="2:32" x14ac:dyDescent="0.3">
      <c r="B96" t="s">
        <v>34</v>
      </c>
      <c r="C96">
        <v>2015</v>
      </c>
      <c r="D96" t="s">
        <v>40</v>
      </c>
      <c r="E96" s="40" t="s">
        <v>239</v>
      </c>
      <c r="F96">
        <v>123.7</v>
      </c>
      <c r="G96">
        <v>132.5</v>
      </c>
      <c r="H96">
        <v>121</v>
      </c>
      <c r="I96">
        <v>128.30000000000001</v>
      </c>
      <c r="J96">
        <v>110.9</v>
      </c>
      <c r="K96">
        <v>133.1</v>
      </c>
      <c r="L96">
        <v>145.1</v>
      </c>
      <c r="M96">
        <v>139.1</v>
      </c>
      <c r="N96">
        <v>91.3</v>
      </c>
      <c r="O96">
        <v>126.1</v>
      </c>
      <c r="P96">
        <v>119.9</v>
      </c>
      <c r="Q96">
        <v>131.4</v>
      </c>
      <c r="R96">
        <v>128.19999999999999</v>
      </c>
      <c r="S96">
        <v>130.4</v>
      </c>
      <c r="T96">
        <v>126.7</v>
      </c>
      <c r="U96">
        <v>122.3</v>
      </c>
      <c r="V96">
        <v>126.1</v>
      </c>
      <c r="W96">
        <v>119.9</v>
      </c>
      <c r="X96">
        <v>120.1</v>
      </c>
      <c r="Y96">
        <v>121.3</v>
      </c>
      <c r="Z96">
        <v>119</v>
      </c>
      <c r="AA96">
        <v>112.7</v>
      </c>
      <c r="AB96">
        <v>117.2</v>
      </c>
      <c r="AC96">
        <v>124.4</v>
      </c>
      <c r="AD96">
        <v>112.3</v>
      </c>
      <c r="AE96">
        <v>117.2</v>
      </c>
      <c r="AF96">
        <v>123.6</v>
      </c>
    </row>
    <row r="97" spans="2:32" x14ac:dyDescent="0.3">
      <c r="B97" t="s">
        <v>30</v>
      </c>
      <c r="C97">
        <v>2015</v>
      </c>
      <c r="D97" t="s">
        <v>41</v>
      </c>
      <c r="E97" s="40" t="s">
        <v>240</v>
      </c>
      <c r="F97">
        <v>124.7</v>
      </c>
      <c r="G97">
        <v>131.30000000000001</v>
      </c>
      <c r="H97">
        <v>121.3</v>
      </c>
      <c r="I97">
        <v>128.80000000000001</v>
      </c>
      <c r="J97">
        <v>114</v>
      </c>
      <c r="K97">
        <v>134.19999999999999</v>
      </c>
      <c r="L97">
        <v>153.6</v>
      </c>
      <c r="M97">
        <v>137.9</v>
      </c>
      <c r="N97">
        <v>93.1</v>
      </c>
      <c r="O97">
        <v>123.9</v>
      </c>
      <c r="P97">
        <v>121.5</v>
      </c>
      <c r="Q97">
        <v>132.5</v>
      </c>
      <c r="R97">
        <v>129.80000000000001</v>
      </c>
      <c r="S97">
        <v>130.1</v>
      </c>
      <c r="T97">
        <v>129.5</v>
      </c>
      <c r="U97">
        <v>126.3</v>
      </c>
      <c r="V97">
        <v>129</v>
      </c>
      <c r="W97">
        <v>120.9</v>
      </c>
      <c r="X97">
        <v>123.8</v>
      </c>
      <c r="Y97">
        <v>123.7</v>
      </c>
      <c r="Z97">
        <v>121.1</v>
      </c>
      <c r="AA97">
        <v>113.6</v>
      </c>
      <c r="AB97">
        <v>118.5</v>
      </c>
      <c r="AC97">
        <v>123.6</v>
      </c>
      <c r="AD97">
        <v>112.5</v>
      </c>
      <c r="AE97">
        <v>118.2</v>
      </c>
      <c r="AF97">
        <v>126.1</v>
      </c>
    </row>
    <row r="98" spans="2:32" x14ac:dyDescent="0.3">
      <c r="B98" t="s">
        <v>33</v>
      </c>
      <c r="C98">
        <v>2015</v>
      </c>
      <c r="D98" t="s">
        <v>41</v>
      </c>
      <c r="E98" s="40" t="s">
        <v>240</v>
      </c>
      <c r="F98">
        <v>123.1</v>
      </c>
      <c r="G98">
        <v>131.69999999999999</v>
      </c>
      <c r="H98">
        <v>118.1</v>
      </c>
      <c r="I98">
        <v>128</v>
      </c>
      <c r="J98">
        <v>106.8</v>
      </c>
      <c r="K98">
        <v>130.1</v>
      </c>
      <c r="L98">
        <v>165.5</v>
      </c>
      <c r="M98">
        <v>156</v>
      </c>
      <c r="N98">
        <v>85.3</v>
      </c>
      <c r="O98">
        <v>132.69999999999999</v>
      </c>
      <c r="P98">
        <v>118.8</v>
      </c>
      <c r="Q98">
        <v>131.69999999999999</v>
      </c>
      <c r="R98">
        <v>131.1</v>
      </c>
      <c r="S98">
        <v>134.19999999999999</v>
      </c>
      <c r="T98">
        <v>123.7</v>
      </c>
      <c r="U98">
        <v>118.2</v>
      </c>
      <c r="V98">
        <v>122.9</v>
      </c>
      <c r="W98">
        <v>120.9</v>
      </c>
      <c r="X98">
        <v>115.3</v>
      </c>
      <c r="Y98">
        <v>120</v>
      </c>
      <c r="Z98">
        <v>116.6</v>
      </c>
      <c r="AA98">
        <v>109.9</v>
      </c>
      <c r="AB98">
        <v>117.2</v>
      </c>
      <c r="AC98">
        <v>126.2</v>
      </c>
      <c r="AD98">
        <v>112</v>
      </c>
      <c r="AE98">
        <v>116.2</v>
      </c>
      <c r="AF98">
        <v>123.2</v>
      </c>
    </row>
    <row r="99" spans="2:32" x14ac:dyDescent="0.3">
      <c r="B99" t="s">
        <v>34</v>
      </c>
      <c r="C99">
        <v>2015</v>
      </c>
      <c r="D99" t="s">
        <v>41</v>
      </c>
      <c r="E99" s="40" t="s">
        <v>240</v>
      </c>
      <c r="F99">
        <v>124.2</v>
      </c>
      <c r="G99">
        <v>131.4</v>
      </c>
      <c r="H99">
        <v>120.1</v>
      </c>
      <c r="I99">
        <v>128.5</v>
      </c>
      <c r="J99">
        <v>111.4</v>
      </c>
      <c r="K99">
        <v>132.30000000000001</v>
      </c>
      <c r="L99">
        <v>157.6</v>
      </c>
      <c r="M99">
        <v>144</v>
      </c>
      <c r="N99">
        <v>90.5</v>
      </c>
      <c r="O99">
        <v>126.8</v>
      </c>
      <c r="P99">
        <v>120.4</v>
      </c>
      <c r="Q99">
        <v>132.1</v>
      </c>
      <c r="R99">
        <v>130.30000000000001</v>
      </c>
      <c r="S99">
        <v>131.19999999999999</v>
      </c>
      <c r="T99">
        <v>127.2</v>
      </c>
      <c r="U99">
        <v>122.9</v>
      </c>
      <c r="V99">
        <v>126.6</v>
      </c>
      <c r="W99">
        <v>120.9</v>
      </c>
      <c r="X99">
        <v>120.6</v>
      </c>
      <c r="Y99">
        <v>122</v>
      </c>
      <c r="Z99">
        <v>119.4</v>
      </c>
      <c r="AA99">
        <v>111.7</v>
      </c>
      <c r="AB99">
        <v>117.8</v>
      </c>
      <c r="AC99">
        <v>125.1</v>
      </c>
      <c r="AD99">
        <v>112.3</v>
      </c>
      <c r="AE99">
        <v>117.2</v>
      </c>
      <c r="AF99">
        <v>124.8</v>
      </c>
    </row>
    <row r="100" spans="2:32" x14ac:dyDescent="0.3">
      <c r="B100" t="s">
        <v>30</v>
      </c>
      <c r="C100">
        <v>2015</v>
      </c>
      <c r="D100" t="s">
        <v>42</v>
      </c>
      <c r="E100" s="40" t="s">
        <v>241</v>
      </c>
      <c r="F100">
        <v>125.1</v>
      </c>
      <c r="G100">
        <v>131.1</v>
      </c>
      <c r="H100">
        <v>120.7</v>
      </c>
      <c r="I100">
        <v>129.19999999999999</v>
      </c>
      <c r="J100">
        <v>114.7</v>
      </c>
      <c r="K100">
        <v>132.30000000000001</v>
      </c>
      <c r="L100">
        <v>158.9</v>
      </c>
      <c r="M100">
        <v>142.1</v>
      </c>
      <c r="N100">
        <v>92.5</v>
      </c>
      <c r="O100">
        <v>125.4</v>
      </c>
      <c r="P100">
        <v>121.9</v>
      </c>
      <c r="Q100">
        <v>132.69999999999999</v>
      </c>
      <c r="R100">
        <v>131</v>
      </c>
      <c r="S100">
        <v>131</v>
      </c>
      <c r="T100">
        <v>130.4</v>
      </c>
      <c r="U100">
        <v>126.8</v>
      </c>
      <c r="V100">
        <v>129.9</v>
      </c>
      <c r="W100">
        <v>121.6</v>
      </c>
      <c r="X100">
        <v>123.7</v>
      </c>
      <c r="Y100">
        <v>124.5</v>
      </c>
      <c r="Z100">
        <v>121.4</v>
      </c>
      <c r="AA100">
        <v>113.8</v>
      </c>
      <c r="AB100">
        <v>119.6</v>
      </c>
      <c r="AC100">
        <v>124.5</v>
      </c>
      <c r="AD100">
        <v>113.7</v>
      </c>
      <c r="AE100">
        <v>118.8</v>
      </c>
      <c r="AF100">
        <v>127</v>
      </c>
    </row>
    <row r="101" spans="2:32" x14ac:dyDescent="0.3">
      <c r="B101" t="s">
        <v>33</v>
      </c>
      <c r="C101">
        <v>2015</v>
      </c>
      <c r="D101" t="s">
        <v>42</v>
      </c>
      <c r="E101" s="40" t="s">
        <v>241</v>
      </c>
      <c r="F101">
        <v>123.4</v>
      </c>
      <c r="G101">
        <v>129</v>
      </c>
      <c r="H101">
        <v>115.6</v>
      </c>
      <c r="I101">
        <v>128.30000000000001</v>
      </c>
      <c r="J101">
        <v>107</v>
      </c>
      <c r="K101">
        <v>124</v>
      </c>
      <c r="L101">
        <v>168.5</v>
      </c>
      <c r="M101">
        <v>165.4</v>
      </c>
      <c r="N101">
        <v>86.3</v>
      </c>
      <c r="O101">
        <v>134.4</v>
      </c>
      <c r="P101">
        <v>119.1</v>
      </c>
      <c r="Q101">
        <v>132.30000000000001</v>
      </c>
      <c r="R101">
        <v>131.5</v>
      </c>
      <c r="S101">
        <v>134.69999999999999</v>
      </c>
      <c r="T101">
        <v>124</v>
      </c>
      <c r="U101">
        <v>118.6</v>
      </c>
      <c r="V101">
        <v>123.2</v>
      </c>
      <c r="W101">
        <v>121.6</v>
      </c>
      <c r="X101">
        <v>115.1</v>
      </c>
      <c r="Y101">
        <v>120.4</v>
      </c>
      <c r="Z101">
        <v>117.1</v>
      </c>
      <c r="AA101">
        <v>109.1</v>
      </c>
      <c r="AB101">
        <v>117.3</v>
      </c>
      <c r="AC101">
        <v>126.5</v>
      </c>
      <c r="AD101">
        <v>112.9</v>
      </c>
      <c r="AE101">
        <v>116.2</v>
      </c>
      <c r="AF101">
        <v>123.5</v>
      </c>
    </row>
    <row r="102" spans="2:32" x14ac:dyDescent="0.3">
      <c r="B102" t="s">
        <v>34</v>
      </c>
      <c r="C102">
        <v>2015</v>
      </c>
      <c r="D102" t="s">
        <v>42</v>
      </c>
      <c r="E102" s="40" t="s">
        <v>241</v>
      </c>
      <c r="F102">
        <v>124.6</v>
      </c>
      <c r="G102">
        <v>130.4</v>
      </c>
      <c r="H102">
        <v>118.7</v>
      </c>
      <c r="I102">
        <v>128.9</v>
      </c>
      <c r="J102">
        <v>111.9</v>
      </c>
      <c r="K102">
        <v>128.4</v>
      </c>
      <c r="L102">
        <v>162.19999999999999</v>
      </c>
      <c r="M102">
        <v>150</v>
      </c>
      <c r="N102">
        <v>90.4</v>
      </c>
      <c r="O102">
        <v>128.4</v>
      </c>
      <c r="P102">
        <v>120.7</v>
      </c>
      <c r="Q102">
        <v>132.5</v>
      </c>
      <c r="R102">
        <v>131.19999999999999</v>
      </c>
      <c r="S102">
        <v>132</v>
      </c>
      <c r="T102">
        <v>127.9</v>
      </c>
      <c r="U102">
        <v>123.4</v>
      </c>
      <c r="V102">
        <v>127.2</v>
      </c>
      <c r="W102">
        <v>121.6</v>
      </c>
      <c r="X102">
        <v>120.4</v>
      </c>
      <c r="Y102">
        <v>122.6</v>
      </c>
      <c r="Z102">
        <v>119.8</v>
      </c>
      <c r="AA102">
        <v>111.3</v>
      </c>
      <c r="AB102">
        <v>118.3</v>
      </c>
      <c r="AC102">
        <v>125.7</v>
      </c>
      <c r="AD102">
        <v>113.4</v>
      </c>
      <c r="AE102">
        <v>117.5</v>
      </c>
      <c r="AF102">
        <v>125.4</v>
      </c>
    </row>
    <row r="103" spans="2:32" x14ac:dyDescent="0.3">
      <c r="B103" t="s">
        <v>30</v>
      </c>
      <c r="C103">
        <v>2015</v>
      </c>
      <c r="D103" t="s">
        <v>43</v>
      </c>
      <c r="E103" s="40" t="s">
        <v>242</v>
      </c>
      <c r="F103">
        <v>125.6</v>
      </c>
      <c r="G103">
        <v>130.4</v>
      </c>
      <c r="H103">
        <v>120.8</v>
      </c>
      <c r="I103">
        <v>129.4</v>
      </c>
      <c r="J103">
        <v>115.8</v>
      </c>
      <c r="K103">
        <v>133.19999999999999</v>
      </c>
      <c r="L103">
        <v>157.69999999999999</v>
      </c>
      <c r="M103">
        <v>154.19999999999999</v>
      </c>
      <c r="N103">
        <v>93.7</v>
      </c>
      <c r="O103">
        <v>126.6</v>
      </c>
      <c r="P103">
        <v>122.3</v>
      </c>
      <c r="Q103">
        <v>133.1</v>
      </c>
      <c r="R103">
        <v>131.80000000000001</v>
      </c>
      <c r="S103">
        <v>131.5</v>
      </c>
      <c r="T103">
        <v>131.1</v>
      </c>
      <c r="U103">
        <v>127.3</v>
      </c>
      <c r="V103">
        <v>130.6</v>
      </c>
      <c r="W103">
        <v>122.4</v>
      </c>
      <c r="X103">
        <v>124.4</v>
      </c>
      <c r="Y103">
        <v>125.1</v>
      </c>
      <c r="Z103">
        <v>122</v>
      </c>
      <c r="AA103">
        <v>113.8</v>
      </c>
      <c r="AB103">
        <v>120.1</v>
      </c>
      <c r="AC103">
        <v>125.1</v>
      </c>
      <c r="AD103">
        <v>114.2</v>
      </c>
      <c r="AE103">
        <v>119.2</v>
      </c>
      <c r="AF103">
        <v>127.7</v>
      </c>
    </row>
    <row r="104" spans="2:32" x14ac:dyDescent="0.3">
      <c r="B104" t="s">
        <v>33</v>
      </c>
      <c r="C104">
        <v>2015</v>
      </c>
      <c r="D104" t="s">
        <v>43</v>
      </c>
      <c r="E104" s="40" t="s">
        <v>242</v>
      </c>
      <c r="F104">
        <v>123.6</v>
      </c>
      <c r="G104">
        <v>128.6</v>
      </c>
      <c r="H104">
        <v>115.9</v>
      </c>
      <c r="I104">
        <v>128.5</v>
      </c>
      <c r="J104">
        <v>109</v>
      </c>
      <c r="K104">
        <v>124.1</v>
      </c>
      <c r="L104">
        <v>165.8</v>
      </c>
      <c r="M104">
        <v>187.2</v>
      </c>
      <c r="N104">
        <v>89.4</v>
      </c>
      <c r="O104">
        <v>135.80000000000001</v>
      </c>
      <c r="P104">
        <v>119.4</v>
      </c>
      <c r="Q104">
        <v>132.9</v>
      </c>
      <c r="R104">
        <v>132.6</v>
      </c>
      <c r="S104">
        <v>135.30000000000001</v>
      </c>
      <c r="T104">
        <v>124.4</v>
      </c>
      <c r="U104">
        <v>118.8</v>
      </c>
      <c r="V104">
        <v>123.6</v>
      </c>
      <c r="W104">
        <v>122.4</v>
      </c>
      <c r="X104">
        <v>114.9</v>
      </c>
      <c r="Y104">
        <v>120.7</v>
      </c>
      <c r="Z104">
        <v>117.7</v>
      </c>
      <c r="AA104">
        <v>109.3</v>
      </c>
      <c r="AB104">
        <v>117.7</v>
      </c>
      <c r="AC104">
        <v>126.5</v>
      </c>
      <c r="AD104">
        <v>113.5</v>
      </c>
      <c r="AE104">
        <v>116.5</v>
      </c>
      <c r="AF104">
        <v>124.2</v>
      </c>
    </row>
    <row r="105" spans="2:32" x14ac:dyDescent="0.3">
      <c r="B105" t="s">
        <v>34</v>
      </c>
      <c r="C105">
        <v>2015</v>
      </c>
      <c r="D105" t="s">
        <v>43</v>
      </c>
      <c r="E105" s="40" t="s">
        <v>242</v>
      </c>
      <c r="F105">
        <v>125</v>
      </c>
      <c r="G105">
        <v>129.80000000000001</v>
      </c>
      <c r="H105">
        <v>118.9</v>
      </c>
      <c r="I105">
        <v>129.1</v>
      </c>
      <c r="J105">
        <v>113.3</v>
      </c>
      <c r="K105">
        <v>129</v>
      </c>
      <c r="L105">
        <v>160.4</v>
      </c>
      <c r="M105">
        <v>165.3</v>
      </c>
      <c r="N105">
        <v>92.3</v>
      </c>
      <c r="O105">
        <v>129.69999999999999</v>
      </c>
      <c r="P105">
        <v>121.1</v>
      </c>
      <c r="Q105">
        <v>133</v>
      </c>
      <c r="R105">
        <v>132.1</v>
      </c>
      <c r="S105">
        <v>132.5</v>
      </c>
      <c r="T105">
        <v>128.5</v>
      </c>
      <c r="U105">
        <v>123.8</v>
      </c>
      <c r="V105">
        <v>127.8</v>
      </c>
      <c r="W105">
        <v>122.4</v>
      </c>
      <c r="X105">
        <v>120.8</v>
      </c>
      <c r="Y105">
        <v>123</v>
      </c>
      <c r="Z105">
        <v>120.4</v>
      </c>
      <c r="AA105">
        <v>111.4</v>
      </c>
      <c r="AB105">
        <v>118.7</v>
      </c>
      <c r="AC105">
        <v>125.9</v>
      </c>
      <c r="AD105">
        <v>113.9</v>
      </c>
      <c r="AE105">
        <v>117.9</v>
      </c>
      <c r="AF105">
        <v>126.1</v>
      </c>
    </row>
    <row r="106" spans="2:32" x14ac:dyDescent="0.3">
      <c r="B106" t="s">
        <v>30</v>
      </c>
      <c r="C106">
        <v>2015</v>
      </c>
      <c r="D106" t="s">
        <v>45</v>
      </c>
      <c r="E106" s="40" t="s">
        <v>243</v>
      </c>
      <c r="F106">
        <v>126.1</v>
      </c>
      <c r="G106">
        <v>130.6</v>
      </c>
      <c r="H106">
        <v>121.7</v>
      </c>
      <c r="I106">
        <v>129.5</v>
      </c>
      <c r="J106">
        <v>117.8</v>
      </c>
      <c r="K106">
        <v>132.1</v>
      </c>
      <c r="L106">
        <v>155.19999999999999</v>
      </c>
      <c r="M106">
        <v>160.80000000000001</v>
      </c>
      <c r="N106">
        <v>94.5</v>
      </c>
      <c r="O106">
        <v>128.30000000000001</v>
      </c>
      <c r="P106">
        <v>123.1</v>
      </c>
      <c r="Q106">
        <v>134.19999999999999</v>
      </c>
      <c r="R106">
        <v>132.4</v>
      </c>
      <c r="S106">
        <v>132.19999999999999</v>
      </c>
      <c r="T106">
        <v>132.1</v>
      </c>
      <c r="U106">
        <v>128.19999999999999</v>
      </c>
      <c r="V106">
        <v>131.5</v>
      </c>
      <c r="W106">
        <v>122.9</v>
      </c>
      <c r="X106">
        <v>125.6</v>
      </c>
      <c r="Y106">
        <v>125.6</v>
      </c>
      <c r="Z106">
        <v>122.6</v>
      </c>
      <c r="AA106">
        <v>114</v>
      </c>
      <c r="AB106">
        <v>120.9</v>
      </c>
      <c r="AC106">
        <v>125.8</v>
      </c>
      <c r="AD106">
        <v>114.2</v>
      </c>
      <c r="AE106">
        <v>119.6</v>
      </c>
      <c r="AF106">
        <v>128.30000000000001</v>
      </c>
    </row>
    <row r="107" spans="2:32" x14ac:dyDescent="0.3">
      <c r="B107" t="s">
        <v>33</v>
      </c>
      <c r="C107">
        <v>2015</v>
      </c>
      <c r="D107" t="s">
        <v>45</v>
      </c>
      <c r="E107" s="40" t="s">
        <v>243</v>
      </c>
      <c r="F107">
        <v>124</v>
      </c>
      <c r="G107">
        <v>129.80000000000001</v>
      </c>
      <c r="H107">
        <v>121.5</v>
      </c>
      <c r="I107">
        <v>128.6</v>
      </c>
      <c r="J107">
        <v>110</v>
      </c>
      <c r="K107">
        <v>123.7</v>
      </c>
      <c r="L107">
        <v>164.6</v>
      </c>
      <c r="M107">
        <v>191.6</v>
      </c>
      <c r="N107">
        <v>90.8</v>
      </c>
      <c r="O107">
        <v>137.1</v>
      </c>
      <c r="P107">
        <v>119.8</v>
      </c>
      <c r="Q107">
        <v>133.69999999999999</v>
      </c>
      <c r="R107">
        <v>133.30000000000001</v>
      </c>
      <c r="S107">
        <v>137.6</v>
      </c>
      <c r="T107">
        <v>125</v>
      </c>
      <c r="U107">
        <v>119.3</v>
      </c>
      <c r="V107">
        <v>124.2</v>
      </c>
      <c r="W107">
        <v>122.9</v>
      </c>
      <c r="X107">
        <v>115.1</v>
      </c>
      <c r="Y107">
        <v>121</v>
      </c>
      <c r="Z107">
        <v>118.1</v>
      </c>
      <c r="AA107">
        <v>109.3</v>
      </c>
      <c r="AB107">
        <v>117.9</v>
      </c>
      <c r="AC107">
        <v>126.6</v>
      </c>
      <c r="AD107">
        <v>113.3</v>
      </c>
      <c r="AE107">
        <v>116.6</v>
      </c>
      <c r="AF107">
        <v>124.6</v>
      </c>
    </row>
    <row r="108" spans="2:32" x14ac:dyDescent="0.3">
      <c r="B108" t="s">
        <v>34</v>
      </c>
      <c r="C108">
        <v>2015</v>
      </c>
      <c r="D108" t="s">
        <v>45</v>
      </c>
      <c r="E108" s="40" t="s">
        <v>243</v>
      </c>
      <c r="F108">
        <v>125.4</v>
      </c>
      <c r="G108">
        <v>130.30000000000001</v>
      </c>
      <c r="H108">
        <v>121.6</v>
      </c>
      <c r="I108">
        <v>129.19999999999999</v>
      </c>
      <c r="J108">
        <v>114.9</v>
      </c>
      <c r="K108">
        <v>128.19999999999999</v>
      </c>
      <c r="L108">
        <v>158.4</v>
      </c>
      <c r="M108">
        <v>171.2</v>
      </c>
      <c r="N108">
        <v>93.3</v>
      </c>
      <c r="O108">
        <v>131.19999999999999</v>
      </c>
      <c r="P108">
        <v>121.7</v>
      </c>
      <c r="Q108">
        <v>134</v>
      </c>
      <c r="R108">
        <v>132.69999999999999</v>
      </c>
      <c r="S108">
        <v>133.6</v>
      </c>
      <c r="T108">
        <v>129.30000000000001</v>
      </c>
      <c r="U108">
        <v>124.5</v>
      </c>
      <c r="V108">
        <v>128.6</v>
      </c>
      <c r="W108">
        <v>122.9</v>
      </c>
      <c r="X108">
        <v>121.6</v>
      </c>
      <c r="Y108">
        <v>123.4</v>
      </c>
      <c r="Z108">
        <v>120.9</v>
      </c>
      <c r="AA108">
        <v>111.5</v>
      </c>
      <c r="AB108">
        <v>119.2</v>
      </c>
      <c r="AC108">
        <v>126.3</v>
      </c>
      <c r="AD108">
        <v>113.8</v>
      </c>
      <c r="AE108">
        <v>118.1</v>
      </c>
      <c r="AF108">
        <v>126.6</v>
      </c>
    </row>
    <row r="109" spans="2:32" x14ac:dyDescent="0.3">
      <c r="B109" t="s">
        <v>30</v>
      </c>
      <c r="C109">
        <v>2015</v>
      </c>
      <c r="D109" t="s">
        <v>46</v>
      </c>
      <c r="E109" s="40" t="s">
        <v>244</v>
      </c>
      <c r="F109">
        <v>126.3</v>
      </c>
      <c r="G109">
        <v>131.30000000000001</v>
      </c>
      <c r="H109">
        <v>123.3</v>
      </c>
      <c r="I109">
        <v>129.80000000000001</v>
      </c>
      <c r="J109">
        <v>118.3</v>
      </c>
      <c r="K109">
        <v>131.6</v>
      </c>
      <c r="L109">
        <v>145.5</v>
      </c>
      <c r="M109">
        <v>162.1</v>
      </c>
      <c r="N109">
        <v>95.4</v>
      </c>
      <c r="O109">
        <v>128.9</v>
      </c>
      <c r="P109">
        <v>123.3</v>
      </c>
      <c r="Q109">
        <v>135.1</v>
      </c>
      <c r="R109">
        <v>131.4</v>
      </c>
      <c r="S109">
        <v>133.1</v>
      </c>
      <c r="T109">
        <v>132.5</v>
      </c>
      <c r="U109">
        <v>128.5</v>
      </c>
      <c r="V109">
        <v>131.9</v>
      </c>
      <c r="W109">
        <v>122.4</v>
      </c>
      <c r="X109">
        <v>125.7</v>
      </c>
      <c r="Y109">
        <v>126</v>
      </c>
      <c r="Z109">
        <v>123.1</v>
      </c>
      <c r="AA109">
        <v>114</v>
      </c>
      <c r="AB109">
        <v>121.6</v>
      </c>
      <c r="AC109">
        <v>125.6</v>
      </c>
      <c r="AD109">
        <v>114.1</v>
      </c>
      <c r="AE109">
        <v>119.8</v>
      </c>
      <c r="AF109">
        <v>127.9</v>
      </c>
    </row>
    <row r="110" spans="2:32" x14ac:dyDescent="0.3">
      <c r="B110" t="s">
        <v>33</v>
      </c>
      <c r="C110">
        <v>2015</v>
      </c>
      <c r="D110" t="s">
        <v>46</v>
      </c>
      <c r="E110" s="40" t="s">
        <v>244</v>
      </c>
      <c r="F110">
        <v>124.3</v>
      </c>
      <c r="G110">
        <v>131.69999999999999</v>
      </c>
      <c r="H110">
        <v>127.1</v>
      </c>
      <c r="I110">
        <v>128.6</v>
      </c>
      <c r="J110">
        <v>110</v>
      </c>
      <c r="K110">
        <v>120.8</v>
      </c>
      <c r="L110">
        <v>149</v>
      </c>
      <c r="M110">
        <v>190.1</v>
      </c>
      <c r="N110">
        <v>92.7</v>
      </c>
      <c r="O110">
        <v>138.6</v>
      </c>
      <c r="P110">
        <v>120.2</v>
      </c>
      <c r="Q110">
        <v>134.19999999999999</v>
      </c>
      <c r="R110">
        <v>131.5</v>
      </c>
      <c r="S110">
        <v>138.19999999999999</v>
      </c>
      <c r="T110">
        <v>125.4</v>
      </c>
      <c r="U110">
        <v>119.5</v>
      </c>
      <c r="V110">
        <v>124.5</v>
      </c>
      <c r="W110">
        <v>122.4</v>
      </c>
      <c r="X110">
        <v>116</v>
      </c>
      <c r="Y110">
        <v>121</v>
      </c>
      <c r="Z110">
        <v>118.6</v>
      </c>
      <c r="AA110">
        <v>109.3</v>
      </c>
      <c r="AB110">
        <v>118.1</v>
      </c>
      <c r="AC110">
        <v>126.6</v>
      </c>
      <c r="AD110">
        <v>113.2</v>
      </c>
      <c r="AE110">
        <v>116.7</v>
      </c>
      <c r="AF110">
        <v>124</v>
      </c>
    </row>
    <row r="111" spans="2:32" x14ac:dyDescent="0.3">
      <c r="B111" t="s">
        <v>34</v>
      </c>
      <c r="C111">
        <v>2015</v>
      </c>
      <c r="D111" t="s">
        <v>46</v>
      </c>
      <c r="E111" s="40" t="s">
        <v>244</v>
      </c>
      <c r="F111">
        <v>125.7</v>
      </c>
      <c r="G111">
        <v>131.4</v>
      </c>
      <c r="H111">
        <v>124.8</v>
      </c>
      <c r="I111">
        <v>129.4</v>
      </c>
      <c r="J111">
        <v>115.3</v>
      </c>
      <c r="K111">
        <v>126.6</v>
      </c>
      <c r="L111">
        <v>146.69999999999999</v>
      </c>
      <c r="M111">
        <v>171.5</v>
      </c>
      <c r="N111">
        <v>94.5</v>
      </c>
      <c r="O111">
        <v>132.1</v>
      </c>
      <c r="P111">
        <v>122</v>
      </c>
      <c r="Q111">
        <v>134.69999999999999</v>
      </c>
      <c r="R111">
        <v>131.4</v>
      </c>
      <c r="S111">
        <v>134.5</v>
      </c>
      <c r="T111">
        <v>129.69999999999999</v>
      </c>
      <c r="U111">
        <v>124.8</v>
      </c>
      <c r="V111">
        <v>129</v>
      </c>
      <c r="W111">
        <v>122.4</v>
      </c>
      <c r="X111">
        <v>122</v>
      </c>
      <c r="Y111">
        <v>123.6</v>
      </c>
      <c r="Z111">
        <v>121.4</v>
      </c>
      <c r="AA111">
        <v>111.5</v>
      </c>
      <c r="AB111">
        <v>119.6</v>
      </c>
      <c r="AC111">
        <v>126.2</v>
      </c>
      <c r="AD111">
        <v>113.7</v>
      </c>
      <c r="AE111">
        <v>118.3</v>
      </c>
      <c r="AF111">
        <v>126.1</v>
      </c>
    </row>
    <row r="112" spans="2:32" x14ac:dyDescent="0.3">
      <c r="B112" t="s">
        <v>30</v>
      </c>
      <c r="C112">
        <v>2016</v>
      </c>
      <c r="D112" t="s">
        <v>31</v>
      </c>
      <c r="E112" s="40" t="s">
        <v>245</v>
      </c>
      <c r="F112">
        <v>126.8</v>
      </c>
      <c r="G112">
        <v>133.19999999999999</v>
      </c>
      <c r="H112">
        <v>126.5</v>
      </c>
      <c r="I112">
        <v>130.30000000000001</v>
      </c>
      <c r="J112">
        <v>118.9</v>
      </c>
      <c r="K112">
        <v>131.6</v>
      </c>
      <c r="L112">
        <v>140.1</v>
      </c>
      <c r="M112">
        <v>163.80000000000001</v>
      </c>
      <c r="N112">
        <v>97.7</v>
      </c>
      <c r="O112">
        <v>129.6</v>
      </c>
      <c r="P112">
        <v>124.3</v>
      </c>
      <c r="Q112">
        <v>135.9</v>
      </c>
      <c r="R112">
        <v>131.4</v>
      </c>
      <c r="S112">
        <v>133.6</v>
      </c>
      <c r="T112">
        <v>133.19999999999999</v>
      </c>
      <c r="U112">
        <v>128.9</v>
      </c>
      <c r="V112">
        <v>132.6</v>
      </c>
      <c r="W112">
        <v>123.4</v>
      </c>
      <c r="X112">
        <v>126.2</v>
      </c>
      <c r="Y112">
        <v>126.6</v>
      </c>
      <c r="Z112">
        <v>123.7</v>
      </c>
      <c r="AA112">
        <v>113.6</v>
      </c>
      <c r="AB112">
        <v>121.4</v>
      </c>
      <c r="AC112">
        <v>126.2</v>
      </c>
      <c r="AD112">
        <v>114.9</v>
      </c>
      <c r="AE112">
        <v>120.1</v>
      </c>
      <c r="AF112">
        <v>128.1</v>
      </c>
    </row>
    <row r="113" spans="2:32" x14ac:dyDescent="0.3">
      <c r="B113" t="s">
        <v>33</v>
      </c>
      <c r="C113">
        <v>2016</v>
      </c>
      <c r="D113" t="s">
        <v>31</v>
      </c>
      <c r="E113" s="40" t="s">
        <v>245</v>
      </c>
      <c r="F113">
        <v>124.7</v>
      </c>
      <c r="G113">
        <v>135.9</v>
      </c>
      <c r="H113">
        <v>132</v>
      </c>
      <c r="I113">
        <v>129.19999999999999</v>
      </c>
      <c r="J113">
        <v>109.7</v>
      </c>
      <c r="K113">
        <v>119</v>
      </c>
      <c r="L113">
        <v>144.1</v>
      </c>
      <c r="M113">
        <v>184.2</v>
      </c>
      <c r="N113">
        <v>96.7</v>
      </c>
      <c r="O113">
        <v>139.5</v>
      </c>
      <c r="P113">
        <v>120.5</v>
      </c>
      <c r="Q113">
        <v>134.69999999999999</v>
      </c>
      <c r="R113">
        <v>131.19999999999999</v>
      </c>
      <c r="S113">
        <v>139.5</v>
      </c>
      <c r="T113">
        <v>125.8</v>
      </c>
      <c r="U113">
        <v>119.8</v>
      </c>
      <c r="V113">
        <v>124.9</v>
      </c>
      <c r="W113">
        <v>123.4</v>
      </c>
      <c r="X113">
        <v>116.9</v>
      </c>
      <c r="Y113">
        <v>121.6</v>
      </c>
      <c r="Z113">
        <v>119.1</v>
      </c>
      <c r="AA113">
        <v>108.9</v>
      </c>
      <c r="AB113">
        <v>118.5</v>
      </c>
      <c r="AC113">
        <v>126.4</v>
      </c>
      <c r="AD113">
        <v>114</v>
      </c>
      <c r="AE113">
        <v>116.8</v>
      </c>
      <c r="AF113">
        <v>124.2</v>
      </c>
    </row>
    <row r="114" spans="2:32" x14ac:dyDescent="0.3">
      <c r="B114" t="s">
        <v>34</v>
      </c>
      <c r="C114">
        <v>2016</v>
      </c>
      <c r="D114" t="s">
        <v>31</v>
      </c>
      <c r="E114" s="40" t="s">
        <v>245</v>
      </c>
      <c r="F114">
        <v>126.1</v>
      </c>
      <c r="G114">
        <v>134.1</v>
      </c>
      <c r="H114">
        <v>128.6</v>
      </c>
      <c r="I114">
        <v>129.9</v>
      </c>
      <c r="J114">
        <v>115.5</v>
      </c>
      <c r="K114">
        <v>125.7</v>
      </c>
      <c r="L114">
        <v>141.5</v>
      </c>
      <c r="M114">
        <v>170.7</v>
      </c>
      <c r="N114">
        <v>97.4</v>
      </c>
      <c r="O114">
        <v>132.9</v>
      </c>
      <c r="P114">
        <v>122.7</v>
      </c>
      <c r="Q114">
        <v>135.30000000000001</v>
      </c>
      <c r="R114">
        <v>131.30000000000001</v>
      </c>
      <c r="S114">
        <v>135.19999999999999</v>
      </c>
      <c r="T114">
        <v>130.30000000000001</v>
      </c>
      <c r="U114">
        <v>125.1</v>
      </c>
      <c r="V114">
        <v>129.5</v>
      </c>
      <c r="W114">
        <v>123.4</v>
      </c>
      <c r="X114">
        <v>122.7</v>
      </c>
      <c r="Y114">
        <v>124.2</v>
      </c>
      <c r="Z114">
        <v>122</v>
      </c>
      <c r="AA114">
        <v>111.1</v>
      </c>
      <c r="AB114">
        <v>119.8</v>
      </c>
      <c r="AC114">
        <v>126.3</v>
      </c>
      <c r="AD114">
        <v>114.5</v>
      </c>
      <c r="AE114">
        <v>118.5</v>
      </c>
      <c r="AF114">
        <v>126.3</v>
      </c>
    </row>
    <row r="115" spans="2:32" x14ac:dyDescent="0.3">
      <c r="B115" t="s">
        <v>30</v>
      </c>
      <c r="C115">
        <v>2016</v>
      </c>
      <c r="D115" t="s">
        <v>35</v>
      </c>
      <c r="E115" s="40" t="s">
        <v>246</v>
      </c>
      <c r="F115">
        <v>127.1</v>
      </c>
      <c r="G115">
        <v>133.69999999999999</v>
      </c>
      <c r="H115">
        <v>127.7</v>
      </c>
      <c r="I115">
        <v>130.69999999999999</v>
      </c>
      <c r="J115">
        <v>118.5</v>
      </c>
      <c r="K115">
        <v>130.4</v>
      </c>
      <c r="L115">
        <v>130.9</v>
      </c>
      <c r="M115">
        <v>162.80000000000001</v>
      </c>
      <c r="N115">
        <v>98.7</v>
      </c>
      <c r="O115">
        <v>130.6</v>
      </c>
      <c r="P115">
        <v>124.8</v>
      </c>
      <c r="Q115">
        <v>136.4</v>
      </c>
      <c r="R115">
        <v>130.30000000000001</v>
      </c>
      <c r="S115">
        <v>134.4</v>
      </c>
      <c r="T115">
        <v>133.9</v>
      </c>
      <c r="U115">
        <v>129.80000000000001</v>
      </c>
      <c r="V115">
        <v>133.4</v>
      </c>
      <c r="W115">
        <v>124.4</v>
      </c>
      <c r="X115">
        <v>127.5</v>
      </c>
      <c r="Y115">
        <v>127.1</v>
      </c>
      <c r="Z115">
        <v>124.3</v>
      </c>
      <c r="AA115">
        <v>113.9</v>
      </c>
      <c r="AB115">
        <v>122.3</v>
      </c>
      <c r="AC115">
        <v>127.1</v>
      </c>
      <c r="AD115">
        <v>116.8</v>
      </c>
      <c r="AE115">
        <v>120.9</v>
      </c>
      <c r="AF115">
        <v>127.9</v>
      </c>
    </row>
    <row r="116" spans="2:32" x14ac:dyDescent="0.3">
      <c r="B116" t="s">
        <v>33</v>
      </c>
      <c r="C116">
        <v>2016</v>
      </c>
      <c r="D116" t="s">
        <v>35</v>
      </c>
      <c r="E116" s="40" t="s">
        <v>246</v>
      </c>
      <c r="F116">
        <v>124.8</v>
      </c>
      <c r="G116">
        <v>135.1</v>
      </c>
      <c r="H116">
        <v>130.30000000000001</v>
      </c>
      <c r="I116">
        <v>129.6</v>
      </c>
      <c r="J116">
        <v>108.4</v>
      </c>
      <c r="K116">
        <v>118.6</v>
      </c>
      <c r="L116">
        <v>129.19999999999999</v>
      </c>
      <c r="M116">
        <v>176.4</v>
      </c>
      <c r="N116">
        <v>99.1</v>
      </c>
      <c r="O116">
        <v>139.69999999999999</v>
      </c>
      <c r="P116">
        <v>120.6</v>
      </c>
      <c r="Q116">
        <v>135.19999999999999</v>
      </c>
      <c r="R116">
        <v>129.1</v>
      </c>
      <c r="S116">
        <v>140</v>
      </c>
      <c r="T116">
        <v>126.2</v>
      </c>
      <c r="U116">
        <v>120.1</v>
      </c>
      <c r="V116">
        <v>125.3</v>
      </c>
      <c r="W116">
        <v>124.4</v>
      </c>
      <c r="X116">
        <v>116</v>
      </c>
      <c r="Y116">
        <v>121.8</v>
      </c>
      <c r="Z116">
        <v>119.5</v>
      </c>
      <c r="AA116">
        <v>109.1</v>
      </c>
      <c r="AB116">
        <v>118.8</v>
      </c>
      <c r="AC116">
        <v>126.3</v>
      </c>
      <c r="AD116">
        <v>116.2</v>
      </c>
      <c r="AE116">
        <v>117.2</v>
      </c>
      <c r="AF116">
        <v>123.8</v>
      </c>
    </row>
    <row r="117" spans="2:32" x14ac:dyDescent="0.3">
      <c r="B117" t="s">
        <v>34</v>
      </c>
      <c r="C117">
        <v>2016</v>
      </c>
      <c r="D117" t="s">
        <v>35</v>
      </c>
      <c r="E117" s="40" t="s">
        <v>246</v>
      </c>
      <c r="F117">
        <v>126.4</v>
      </c>
      <c r="G117">
        <v>134.19999999999999</v>
      </c>
      <c r="H117">
        <v>128.69999999999999</v>
      </c>
      <c r="I117">
        <v>130.30000000000001</v>
      </c>
      <c r="J117">
        <v>114.8</v>
      </c>
      <c r="K117">
        <v>124.9</v>
      </c>
      <c r="L117">
        <v>130.30000000000001</v>
      </c>
      <c r="M117">
        <v>167.4</v>
      </c>
      <c r="N117">
        <v>98.8</v>
      </c>
      <c r="O117">
        <v>133.6</v>
      </c>
      <c r="P117">
        <v>123</v>
      </c>
      <c r="Q117">
        <v>135.80000000000001</v>
      </c>
      <c r="R117">
        <v>129.9</v>
      </c>
      <c r="S117">
        <v>135.9</v>
      </c>
      <c r="T117">
        <v>130.9</v>
      </c>
      <c r="U117">
        <v>125.8</v>
      </c>
      <c r="V117">
        <v>130.19999999999999</v>
      </c>
      <c r="W117">
        <v>124.4</v>
      </c>
      <c r="X117">
        <v>123.1</v>
      </c>
      <c r="Y117">
        <v>124.6</v>
      </c>
      <c r="Z117">
        <v>122.5</v>
      </c>
      <c r="AA117">
        <v>111.4</v>
      </c>
      <c r="AB117">
        <v>120.3</v>
      </c>
      <c r="AC117">
        <v>126.6</v>
      </c>
      <c r="AD117">
        <v>116.6</v>
      </c>
      <c r="AE117">
        <v>119.1</v>
      </c>
      <c r="AF117">
        <v>126</v>
      </c>
    </row>
    <row r="118" spans="2:32" x14ac:dyDescent="0.3">
      <c r="B118" t="s">
        <v>30</v>
      </c>
      <c r="C118">
        <v>2016</v>
      </c>
      <c r="D118" t="s">
        <v>36</v>
      </c>
      <c r="E118" s="40" t="s">
        <v>247</v>
      </c>
      <c r="F118">
        <v>127.3</v>
      </c>
      <c r="G118">
        <v>134.4</v>
      </c>
      <c r="H118">
        <v>125.1</v>
      </c>
      <c r="I118">
        <v>130.5</v>
      </c>
      <c r="J118">
        <v>118.3</v>
      </c>
      <c r="K118">
        <v>131.69999999999999</v>
      </c>
      <c r="L118">
        <v>130.69999999999999</v>
      </c>
      <c r="M118">
        <v>161.19999999999999</v>
      </c>
      <c r="N118">
        <v>100.4</v>
      </c>
      <c r="O118">
        <v>130.80000000000001</v>
      </c>
      <c r="P118">
        <v>124.9</v>
      </c>
      <c r="Q118">
        <v>137</v>
      </c>
      <c r="R118">
        <v>130.4</v>
      </c>
      <c r="S118">
        <v>135</v>
      </c>
      <c r="T118">
        <v>134.4</v>
      </c>
      <c r="U118">
        <v>130.19999999999999</v>
      </c>
      <c r="V118">
        <v>133.80000000000001</v>
      </c>
      <c r="W118">
        <v>124.9</v>
      </c>
      <c r="X118">
        <v>127</v>
      </c>
      <c r="Y118">
        <v>127.7</v>
      </c>
      <c r="Z118">
        <v>124.8</v>
      </c>
      <c r="AA118">
        <v>113.6</v>
      </c>
      <c r="AB118">
        <v>122.5</v>
      </c>
      <c r="AC118">
        <v>127.5</v>
      </c>
      <c r="AD118">
        <v>117.4</v>
      </c>
      <c r="AE118">
        <v>121.1</v>
      </c>
      <c r="AF118">
        <v>128</v>
      </c>
    </row>
    <row r="119" spans="2:32" x14ac:dyDescent="0.3">
      <c r="B119" t="s">
        <v>33</v>
      </c>
      <c r="C119">
        <v>2016</v>
      </c>
      <c r="D119" t="s">
        <v>36</v>
      </c>
      <c r="E119" s="40" t="s">
        <v>247</v>
      </c>
      <c r="F119">
        <v>124.8</v>
      </c>
      <c r="G119">
        <v>136.30000000000001</v>
      </c>
      <c r="H119">
        <v>123.7</v>
      </c>
      <c r="I119">
        <v>129.69999999999999</v>
      </c>
      <c r="J119">
        <v>107.9</v>
      </c>
      <c r="K119">
        <v>119.9</v>
      </c>
      <c r="L119">
        <v>128.1</v>
      </c>
      <c r="M119">
        <v>170.3</v>
      </c>
      <c r="N119">
        <v>101.8</v>
      </c>
      <c r="O119">
        <v>140.1</v>
      </c>
      <c r="P119">
        <v>120.7</v>
      </c>
      <c r="Q119">
        <v>135.4</v>
      </c>
      <c r="R119">
        <v>128.9</v>
      </c>
      <c r="S119">
        <v>140.6</v>
      </c>
      <c r="T119">
        <v>126.4</v>
      </c>
      <c r="U119">
        <v>120.3</v>
      </c>
      <c r="V119">
        <v>125.5</v>
      </c>
      <c r="W119">
        <v>124.9</v>
      </c>
      <c r="X119">
        <v>114.8</v>
      </c>
      <c r="Y119">
        <v>122.3</v>
      </c>
      <c r="Z119">
        <v>119.7</v>
      </c>
      <c r="AA119">
        <v>108.5</v>
      </c>
      <c r="AB119">
        <v>119.1</v>
      </c>
      <c r="AC119">
        <v>126.4</v>
      </c>
      <c r="AD119">
        <v>117.1</v>
      </c>
      <c r="AE119">
        <v>117.3</v>
      </c>
      <c r="AF119">
        <v>123.8</v>
      </c>
    </row>
    <row r="120" spans="2:32" x14ac:dyDescent="0.3">
      <c r="B120" t="s">
        <v>34</v>
      </c>
      <c r="C120">
        <v>2016</v>
      </c>
      <c r="D120" t="s">
        <v>36</v>
      </c>
      <c r="E120" s="40" t="s">
        <v>247</v>
      </c>
      <c r="F120">
        <v>126.5</v>
      </c>
      <c r="G120">
        <v>135.1</v>
      </c>
      <c r="H120">
        <v>124.6</v>
      </c>
      <c r="I120">
        <v>130.19999999999999</v>
      </c>
      <c r="J120">
        <v>114.5</v>
      </c>
      <c r="K120">
        <v>126.2</v>
      </c>
      <c r="L120">
        <v>129.80000000000001</v>
      </c>
      <c r="M120">
        <v>164.3</v>
      </c>
      <c r="N120">
        <v>100.9</v>
      </c>
      <c r="O120">
        <v>133.9</v>
      </c>
      <c r="P120">
        <v>123.1</v>
      </c>
      <c r="Q120">
        <v>136.30000000000001</v>
      </c>
      <c r="R120">
        <v>129.80000000000001</v>
      </c>
      <c r="S120">
        <v>136.5</v>
      </c>
      <c r="T120">
        <v>131.30000000000001</v>
      </c>
      <c r="U120">
        <v>126.1</v>
      </c>
      <c r="V120">
        <v>130.5</v>
      </c>
      <c r="W120">
        <v>124.9</v>
      </c>
      <c r="X120">
        <v>122.4</v>
      </c>
      <c r="Y120">
        <v>125.1</v>
      </c>
      <c r="Z120">
        <v>122.9</v>
      </c>
      <c r="AA120">
        <v>110.9</v>
      </c>
      <c r="AB120">
        <v>120.6</v>
      </c>
      <c r="AC120">
        <v>126.9</v>
      </c>
      <c r="AD120">
        <v>117.3</v>
      </c>
      <c r="AE120">
        <v>119.3</v>
      </c>
      <c r="AF120">
        <v>126</v>
      </c>
    </row>
    <row r="121" spans="2:32" x14ac:dyDescent="0.3">
      <c r="B121" t="s">
        <v>30</v>
      </c>
      <c r="C121">
        <v>2016</v>
      </c>
      <c r="D121" t="s">
        <v>37</v>
      </c>
      <c r="E121" s="40" t="s">
        <v>248</v>
      </c>
      <c r="F121">
        <v>127.4</v>
      </c>
      <c r="G121">
        <v>135.4</v>
      </c>
      <c r="H121">
        <v>123.4</v>
      </c>
      <c r="I121">
        <v>131.30000000000001</v>
      </c>
      <c r="J121">
        <v>118.2</v>
      </c>
      <c r="K121">
        <v>138.1</v>
      </c>
      <c r="L121">
        <v>134.1</v>
      </c>
      <c r="M121">
        <v>162.69999999999999</v>
      </c>
      <c r="N121">
        <v>105</v>
      </c>
      <c r="O121">
        <v>131.4</v>
      </c>
      <c r="P121">
        <v>125.4</v>
      </c>
      <c r="Q121">
        <v>137.4</v>
      </c>
      <c r="R121">
        <v>131.80000000000001</v>
      </c>
      <c r="S121">
        <v>135.5</v>
      </c>
      <c r="T121">
        <v>135</v>
      </c>
      <c r="U121">
        <v>130.6</v>
      </c>
      <c r="V121">
        <v>134.4</v>
      </c>
      <c r="W121">
        <v>125.6</v>
      </c>
      <c r="X121">
        <v>127</v>
      </c>
      <c r="Y121">
        <v>128</v>
      </c>
      <c r="Z121">
        <v>125.2</v>
      </c>
      <c r="AA121">
        <v>114.4</v>
      </c>
      <c r="AB121">
        <v>123.2</v>
      </c>
      <c r="AC121">
        <v>127.9</v>
      </c>
      <c r="AD121">
        <v>118.4</v>
      </c>
      <c r="AE121">
        <v>121.7</v>
      </c>
      <c r="AF121">
        <v>129</v>
      </c>
    </row>
    <row r="122" spans="2:32" x14ac:dyDescent="0.3">
      <c r="B122" t="s">
        <v>33</v>
      </c>
      <c r="C122">
        <v>2016</v>
      </c>
      <c r="D122" t="s">
        <v>37</v>
      </c>
      <c r="E122" s="40" t="s">
        <v>248</v>
      </c>
      <c r="F122">
        <v>124.9</v>
      </c>
      <c r="G122">
        <v>139.30000000000001</v>
      </c>
      <c r="H122">
        <v>119.9</v>
      </c>
      <c r="I122">
        <v>130.19999999999999</v>
      </c>
      <c r="J122">
        <v>108.9</v>
      </c>
      <c r="K122">
        <v>131.1</v>
      </c>
      <c r="L122">
        <v>136.80000000000001</v>
      </c>
      <c r="M122">
        <v>176.9</v>
      </c>
      <c r="N122">
        <v>109.1</v>
      </c>
      <c r="O122">
        <v>140.4</v>
      </c>
      <c r="P122">
        <v>121.1</v>
      </c>
      <c r="Q122">
        <v>135.9</v>
      </c>
      <c r="R122">
        <v>131.80000000000001</v>
      </c>
      <c r="S122">
        <v>141.5</v>
      </c>
      <c r="T122">
        <v>126.8</v>
      </c>
      <c r="U122">
        <v>120.5</v>
      </c>
      <c r="V122">
        <v>125.8</v>
      </c>
      <c r="W122">
        <v>125.6</v>
      </c>
      <c r="X122">
        <v>114.6</v>
      </c>
      <c r="Y122">
        <v>122.8</v>
      </c>
      <c r="Z122">
        <v>120</v>
      </c>
      <c r="AA122">
        <v>110</v>
      </c>
      <c r="AB122">
        <v>119.5</v>
      </c>
      <c r="AC122">
        <v>127.6</v>
      </c>
      <c r="AD122">
        <v>117.6</v>
      </c>
      <c r="AE122">
        <v>118.2</v>
      </c>
      <c r="AF122">
        <v>125.3</v>
      </c>
    </row>
    <row r="123" spans="2:32" x14ac:dyDescent="0.3">
      <c r="B123" t="s">
        <v>34</v>
      </c>
      <c r="C123">
        <v>2016</v>
      </c>
      <c r="D123" t="s">
        <v>37</v>
      </c>
      <c r="E123" s="40" t="s">
        <v>248</v>
      </c>
      <c r="F123">
        <v>126.6</v>
      </c>
      <c r="G123">
        <v>136.80000000000001</v>
      </c>
      <c r="H123">
        <v>122</v>
      </c>
      <c r="I123">
        <v>130.9</v>
      </c>
      <c r="J123">
        <v>114.8</v>
      </c>
      <c r="K123">
        <v>134.80000000000001</v>
      </c>
      <c r="L123">
        <v>135</v>
      </c>
      <c r="M123">
        <v>167.5</v>
      </c>
      <c r="N123">
        <v>106.4</v>
      </c>
      <c r="O123">
        <v>134.4</v>
      </c>
      <c r="P123">
        <v>123.6</v>
      </c>
      <c r="Q123">
        <v>136.69999999999999</v>
      </c>
      <c r="R123">
        <v>131.80000000000001</v>
      </c>
      <c r="S123">
        <v>137.1</v>
      </c>
      <c r="T123">
        <v>131.80000000000001</v>
      </c>
      <c r="U123">
        <v>126.4</v>
      </c>
      <c r="V123">
        <v>131</v>
      </c>
      <c r="W123">
        <v>125.6</v>
      </c>
      <c r="X123">
        <v>122.3</v>
      </c>
      <c r="Y123">
        <v>125.5</v>
      </c>
      <c r="Z123">
        <v>123.2</v>
      </c>
      <c r="AA123">
        <v>112.1</v>
      </c>
      <c r="AB123">
        <v>121.1</v>
      </c>
      <c r="AC123">
        <v>127.7</v>
      </c>
      <c r="AD123">
        <v>118.1</v>
      </c>
      <c r="AE123">
        <v>120</v>
      </c>
      <c r="AF123">
        <v>127.3</v>
      </c>
    </row>
    <row r="124" spans="2:32" x14ac:dyDescent="0.3">
      <c r="B124" t="s">
        <v>30</v>
      </c>
      <c r="C124">
        <v>2016</v>
      </c>
      <c r="D124" t="s">
        <v>38</v>
      </c>
      <c r="E124" s="40" t="s">
        <v>249</v>
      </c>
      <c r="F124">
        <v>127.6</v>
      </c>
      <c r="G124">
        <v>137.5</v>
      </c>
      <c r="H124">
        <v>124.4</v>
      </c>
      <c r="I124">
        <v>132.4</v>
      </c>
      <c r="J124">
        <v>118.2</v>
      </c>
      <c r="K124">
        <v>138.1</v>
      </c>
      <c r="L124">
        <v>141.80000000000001</v>
      </c>
      <c r="M124">
        <v>166</v>
      </c>
      <c r="N124">
        <v>107.5</v>
      </c>
      <c r="O124">
        <v>132.19999999999999</v>
      </c>
      <c r="P124">
        <v>126.1</v>
      </c>
      <c r="Q124">
        <v>138.30000000000001</v>
      </c>
      <c r="R124">
        <v>133.6</v>
      </c>
      <c r="S124">
        <v>136</v>
      </c>
      <c r="T124">
        <v>135.4</v>
      </c>
      <c r="U124">
        <v>131.1</v>
      </c>
      <c r="V124">
        <v>134.80000000000001</v>
      </c>
      <c r="W124">
        <v>126</v>
      </c>
      <c r="X124">
        <v>127.4</v>
      </c>
      <c r="Y124">
        <v>128.5</v>
      </c>
      <c r="Z124">
        <v>125.8</v>
      </c>
      <c r="AA124">
        <v>115.1</v>
      </c>
      <c r="AB124">
        <v>123.6</v>
      </c>
      <c r="AC124">
        <v>129.1</v>
      </c>
      <c r="AD124">
        <v>119.7</v>
      </c>
      <c r="AE124">
        <v>122.5</v>
      </c>
      <c r="AF124">
        <v>130.30000000000001</v>
      </c>
    </row>
    <row r="125" spans="2:32" x14ac:dyDescent="0.3">
      <c r="B125" t="s">
        <v>33</v>
      </c>
      <c r="C125">
        <v>2016</v>
      </c>
      <c r="D125" t="s">
        <v>38</v>
      </c>
      <c r="E125" s="40" t="s">
        <v>249</v>
      </c>
      <c r="F125">
        <v>125</v>
      </c>
      <c r="G125">
        <v>142.1</v>
      </c>
      <c r="H125">
        <v>127</v>
      </c>
      <c r="I125">
        <v>130.4</v>
      </c>
      <c r="J125">
        <v>109.6</v>
      </c>
      <c r="K125">
        <v>133.5</v>
      </c>
      <c r="L125">
        <v>151.4</v>
      </c>
      <c r="M125">
        <v>182.8</v>
      </c>
      <c r="N125">
        <v>111.1</v>
      </c>
      <c r="O125">
        <v>141.5</v>
      </c>
      <c r="P125">
        <v>121.5</v>
      </c>
      <c r="Q125">
        <v>136.30000000000001</v>
      </c>
      <c r="R125">
        <v>134.6</v>
      </c>
      <c r="S125">
        <v>142.19999999999999</v>
      </c>
      <c r="T125">
        <v>127.2</v>
      </c>
      <c r="U125">
        <v>120.7</v>
      </c>
      <c r="V125">
        <v>126.2</v>
      </c>
      <c r="W125">
        <v>126</v>
      </c>
      <c r="X125">
        <v>115</v>
      </c>
      <c r="Y125">
        <v>123.2</v>
      </c>
      <c r="Z125">
        <v>120.3</v>
      </c>
      <c r="AA125">
        <v>110.7</v>
      </c>
      <c r="AB125">
        <v>119.8</v>
      </c>
      <c r="AC125">
        <v>128</v>
      </c>
      <c r="AD125">
        <v>118.5</v>
      </c>
      <c r="AE125">
        <v>118.7</v>
      </c>
      <c r="AF125">
        <v>126.6</v>
      </c>
    </row>
    <row r="126" spans="2:32" x14ac:dyDescent="0.3">
      <c r="B126" t="s">
        <v>34</v>
      </c>
      <c r="C126">
        <v>2016</v>
      </c>
      <c r="D126" t="s">
        <v>38</v>
      </c>
      <c r="E126" s="40" t="s">
        <v>249</v>
      </c>
      <c r="F126">
        <v>126.8</v>
      </c>
      <c r="G126">
        <v>139.1</v>
      </c>
      <c r="H126">
        <v>125.4</v>
      </c>
      <c r="I126">
        <v>131.69999999999999</v>
      </c>
      <c r="J126">
        <v>115</v>
      </c>
      <c r="K126">
        <v>136</v>
      </c>
      <c r="L126">
        <v>145.1</v>
      </c>
      <c r="M126">
        <v>171.7</v>
      </c>
      <c r="N126">
        <v>108.7</v>
      </c>
      <c r="O126">
        <v>135.30000000000001</v>
      </c>
      <c r="P126">
        <v>124.2</v>
      </c>
      <c r="Q126">
        <v>137.4</v>
      </c>
      <c r="R126">
        <v>134</v>
      </c>
      <c r="S126">
        <v>137.69999999999999</v>
      </c>
      <c r="T126">
        <v>132.19999999999999</v>
      </c>
      <c r="U126">
        <v>126.8</v>
      </c>
      <c r="V126">
        <v>131.4</v>
      </c>
      <c r="W126">
        <v>126</v>
      </c>
      <c r="X126">
        <v>122.7</v>
      </c>
      <c r="Y126">
        <v>126</v>
      </c>
      <c r="Z126">
        <v>123.7</v>
      </c>
      <c r="AA126">
        <v>112.8</v>
      </c>
      <c r="AB126">
        <v>121.5</v>
      </c>
      <c r="AC126">
        <v>128.5</v>
      </c>
      <c r="AD126">
        <v>119.2</v>
      </c>
      <c r="AE126">
        <v>120.7</v>
      </c>
      <c r="AF126">
        <v>128.6</v>
      </c>
    </row>
    <row r="127" spans="2:32" x14ac:dyDescent="0.3">
      <c r="B127" t="s">
        <v>30</v>
      </c>
      <c r="C127">
        <v>2016</v>
      </c>
      <c r="D127" t="s">
        <v>39</v>
      </c>
      <c r="E127" s="40" t="s">
        <v>250</v>
      </c>
      <c r="F127">
        <v>128.6</v>
      </c>
      <c r="G127">
        <v>138.6</v>
      </c>
      <c r="H127">
        <v>126.6</v>
      </c>
      <c r="I127">
        <v>133.6</v>
      </c>
      <c r="J127">
        <v>118.6</v>
      </c>
      <c r="K127">
        <v>137.4</v>
      </c>
      <c r="L127">
        <v>152.5</v>
      </c>
      <c r="M127">
        <v>169.2</v>
      </c>
      <c r="N127">
        <v>108.8</v>
      </c>
      <c r="O127">
        <v>133.1</v>
      </c>
      <c r="P127">
        <v>126.4</v>
      </c>
      <c r="Q127">
        <v>139.19999999999999</v>
      </c>
      <c r="R127">
        <v>136</v>
      </c>
      <c r="S127">
        <v>137.19999999999999</v>
      </c>
      <c r="T127">
        <v>136.30000000000001</v>
      </c>
      <c r="U127">
        <v>131.6</v>
      </c>
      <c r="V127">
        <v>135.6</v>
      </c>
      <c r="W127">
        <v>125.5</v>
      </c>
      <c r="X127">
        <v>128</v>
      </c>
      <c r="Y127">
        <v>129.30000000000001</v>
      </c>
      <c r="Z127">
        <v>126.2</v>
      </c>
      <c r="AA127">
        <v>116.3</v>
      </c>
      <c r="AB127">
        <v>124.1</v>
      </c>
      <c r="AC127">
        <v>130.19999999999999</v>
      </c>
      <c r="AD127">
        <v>119.9</v>
      </c>
      <c r="AE127">
        <v>123.3</v>
      </c>
      <c r="AF127">
        <v>131.9</v>
      </c>
    </row>
    <row r="128" spans="2:32" x14ac:dyDescent="0.3">
      <c r="B128" t="s">
        <v>33</v>
      </c>
      <c r="C128">
        <v>2016</v>
      </c>
      <c r="D128" t="s">
        <v>39</v>
      </c>
      <c r="E128" s="40" t="s">
        <v>250</v>
      </c>
      <c r="F128">
        <v>125.9</v>
      </c>
      <c r="G128">
        <v>143.9</v>
      </c>
      <c r="H128">
        <v>130.9</v>
      </c>
      <c r="I128">
        <v>131</v>
      </c>
      <c r="J128">
        <v>110.2</v>
      </c>
      <c r="K128">
        <v>135.5</v>
      </c>
      <c r="L128">
        <v>173.7</v>
      </c>
      <c r="M128">
        <v>184.4</v>
      </c>
      <c r="N128">
        <v>112</v>
      </c>
      <c r="O128">
        <v>142.80000000000001</v>
      </c>
      <c r="P128">
        <v>121.6</v>
      </c>
      <c r="Q128">
        <v>136.9</v>
      </c>
      <c r="R128">
        <v>138.19999999999999</v>
      </c>
      <c r="S128">
        <v>142.69999999999999</v>
      </c>
      <c r="T128">
        <v>127.6</v>
      </c>
      <c r="U128">
        <v>121.1</v>
      </c>
      <c r="V128">
        <v>126.6</v>
      </c>
      <c r="W128">
        <v>125.5</v>
      </c>
      <c r="X128">
        <v>115.5</v>
      </c>
      <c r="Y128">
        <v>123.2</v>
      </c>
      <c r="Z128">
        <v>120.6</v>
      </c>
      <c r="AA128">
        <v>112.3</v>
      </c>
      <c r="AB128">
        <v>119.9</v>
      </c>
      <c r="AC128">
        <v>129.30000000000001</v>
      </c>
      <c r="AD128">
        <v>118.8</v>
      </c>
      <c r="AE128">
        <v>119.6</v>
      </c>
      <c r="AF128">
        <v>128.1</v>
      </c>
    </row>
    <row r="129" spans="2:32" x14ac:dyDescent="0.3">
      <c r="B129" t="s">
        <v>34</v>
      </c>
      <c r="C129">
        <v>2016</v>
      </c>
      <c r="D129" t="s">
        <v>39</v>
      </c>
      <c r="E129" s="40" t="s">
        <v>250</v>
      </c>
      <c r="F129">
        <v>127.7</v>
      </c>
      <c r="G129">
        <v>140.5</v>
      </c>
      <c r="H129">
        <v>128.30000000000001</v>
      </c>
      <c r="I129">
        <v>132.6</v>
      </c>
      <c r="J129">
        <v>115.5</v>
      </c>
      <c r="K129">
        <v>136.5</v>
      </c>
      <c r="L129">
        <v>159.69999999999999</v>
      </c>
      <c r="M129">
        <v>174.3</v>
      </c>
      <c r="N129">
        <v>109.9</v>
      </c>
      <c r="O129">
        <v>136.30000000000001</v>
      </c>
      <c r="P129">
        <v>124.4</v>
      </c>
      <c r="Q129">
        <v>138.1</v>
      </c>
      <c r="R129">
        <v>136.80000000000001</v>
      </c>
      <c r="S129">
        <v>138.69999999999999</v>
      </c>
      <c r="T129">
        <v>132.9</v>
      </c>
      <c r="U129">
        <v>127.2</v>
      </c>
      <c r="V129">
        <v>132</v>
      </c>
      <c r="W129">
        <v>125.5</v>
      </c>
      <c r="X129">
        <v>123.3</v>
      </c>
      <c r="Y129">
        <v>126.4</v>
      </c>
      <c r="Z129">
        <v>124.1</v>
      </c>
      <c r="AA129">
        <v>114.2</v>
      </c>
      <c r="AB129">
        <v>121.7</v>
      </c>
      <c r="AC129">
        <v>129.69999999999999</v>
      </c>
      <c r="AD129">
        <v>119.4</v>
      </c>
      <c r="AE129">
        <v>121.5</v>
      </c>
      <c r="AF129">
        <v>130.1</v>
      </c>
    </row>
    <row r="130" spans="2:32" x14ac:dyDescent="0.3">
      <c r="B130" t="s">
        <v>30</v>
      </c>
      <c r="C130">
        <v>2016</v>
      </c>
      <c r="D130" t="s">
        <v>40</v>
      </c>
      <c r="E130" s="40" t="s">
        <v>251</v>
      </c>
      <c r="F130">
        <v>129.30000000000001</v>
      </c>
      <c r="G130">
        <v>139.5</v>
      </c>
      <c r="H130">
        <v>129.6</v>
      </c>
      <c r="I130">
        <v>134.5</v>
      </c>
      <c r="J130">
        <v>119.5</v>
      </c>
      <c r="K130">
        <v>138.5</v>
      </c>
      <c r="L130">
        <v>158.19999999999999</v>
      </c>
      <c r="M130">
        <v>171.8</v>
      </c>
      <c r="N130">
        <v>110.3</v>
      </c>
      <c r="O130">
        <v>134.30000000000001</v>
      </c>
      <c r="P130">
        <v>127.3</v>
      </c>
      <c r="Q130">
        <v>139.9</v>
      </c>
      <c r="R130">
        <v>137.6</v>
      </c>
      <c r="S130">
        <v>138</v>
      </c>
      <c r="T130">
        <v>137.19999999999999</v>
      </c>
      <c r="U130">
        <v>132.19999999999999</v>
      </c>
      <c r="V130">
        <v>136.5</v>
      </c>
      <c r="W130">
        <v>126.4</v>
      </c>
      <c r="X130">
        <v>128.19999999999999</v>
      </c>
      <c r="Y130">
        <v>130</v>
      </c>
      <c r="Z130">
        <v>126.7</v>
      </c>
      <c r="AA130">
        <v>116.4</v>
      </c>
      <c r="AB130">
        <v>125.2</v>
      </c>
      <c r="AC130">
        <v>130.80000000000001</v>
      </c>
      <c r="AD130">
        <v>120.9</v>
      </c>
      <c r="AE130">
        <v>123.8</v>
      </c>
      <c r="AF130">
        <v>133</v>
      </c>
    </row>
    <row r="131" spans="2:32" x14ac:dyDescent="0.3">
      <c r="B131" t="s">
        <v>33</v>
      </c>
      <c r="C131">
        <v>2016</v>
      </c>
      <c r="D131" t="s">
        <v>40</v>
      </c>
      <c r="E131" s="40" t="s">
        <v>251</v>
      </c>
      <c r="F131">
        <v>126.8</v>
      </c>
      <c r="G131">
        <v>144.19999999999999</v>
      </c>
      <c r="H131">
        <v>136.6</v>
      </c>
      <c r="I131">
        <v>131.80000000000001</v>
      </c>
      <c r="J131">
        <v>111</v>
      </c>
      <c r="K131">
        <v>137</v>
      </c>
      <c r="L131">
        <v>179.5</v>
      </c>
      <c r="M131">
        <v>188.4</v>
      </c>
      <c r="N131">
        <v>113.3</v>
      </c>
      <c r="O131">
        <v>143.9</v>
      </c>
      <c r="P131">
        <v>121.7</v>
      </c>
      <c r="Q131">
        <v>137.5</v>
      </c>
      <c r="R131">
        <v>139.80000000000001</v>
      </c>
      <c r="S131">
        <v>142.9</v>
      </c>
      <c r="T131">
        <v>127.9</v>
      </c>
      <c r="U131">
        <v>121.1</v>
      </c>
      <c r="V131">
        <v>126.9</v>
      </c>
      <c r="W131">
        <v>126.4</v>
      </c>
      <c r="X131">
        <v>115.5</v>
      </c>
      <c r="Y131">
        <v>123.5</v>
      </c>
      <c r="Z131">
        <v>120.9</v>
      </c>
      <c r="AA131">
        <v>111.7</v>
      </c>
      <c r="AB131">
        <v>120.3</v>
      </c>
      <c r="AC131">
        <v>130.80000000000001</v>
      </c>
      <c r="AD131">
        <v>120</v>
      </c>
      <c r="AE131">
        <v>119.9</v>
      </c>
      <c r="AF131">
        <v>129</v>
      </c>
    </row>
    <row r="132" spans="2:32" x14ac:dyDescent="0.3">
      <c r="B132" t="s">
        <v>34</v>
      </c>
      <c r="C132">
        <v>2016</v>
      </c>
      <c r="D132" t="s">
        <v>40</v>
      </c>
      <c r="E132" s="40" t="s">
        <v>251</v>
      </c>
      <c r="F132">
        <v>128.5</v>
      </c>
      <c r="G132">
        <v>141.19999999999999</v>
      </c>
      <c r="H132">
        <v>132.30000000000001</v>
      </c>
      <c r="I132">
        <v>133.5</v>
      </c>
      <c r="J132">
        <v>116.4</v>
      </c>
      <c r="K132">
        <v>137.80000000000001</v>
      </c>
      <c r="L132">
        <v>165.4</v>
      </c>
      <c r="M132">
        <v>177.4</v>
      </c>
      <c r="N132">
        <v>111.3</v>
      </c>
      <c r="O132">
        <v>137.5</v>
      </c>
      <c r="P132">
        <v>125</v>
      </c>
      <c r="Q132">
        <v>138.80000000000001</v>
      </c>
      <c r="R132">
        <v>138.4</v>
      </c>
      <c r="S132">
        <v>139.30000000000001</v>
      </c>
      <c r="T132">
        <v>133.5</v>
      </c>
      <c r="U132">
        <v>127.6</v>
      </c>
      <c r="V132">
        <v>132.69999999999999</v>
      </c>
      <c r="W132">
        <v>126.4</v>
      </c>
      <c r="X132">
        <v>123.4</v>
      </c>
      <c r="Y132">
        <v>126.9</v>
      </c>
      <c r="Z132">
        <v>124.5</v>
      </c>
      <c r="AA132">
        <v>113.9</v>
      </c>
      <c r="AB132">
        <v>122.4</v>
      </c>
      <c r="AC132">
        <v>130.80000000000001</v>
      </c>
      <c r="AD132">
        <v>120.5</v>
      </c>
      <c r="AE132">
        <v>121.9</v>
      </c>
      <c r="AF132">
        <v>131.1</v>
      </c>
    </row>
    <row r="133" spans="2:32" x14ac:dyDescent="0.3">
      <c r="B133" t="s">
        <v>30</v>
      </c>
      <c r="C133">
        <v>2016</v>
      </c>
      <c r="D133" t="s">
        <v>41</v>
      </c>
      <c r="E133" s="40" t="s">
        <v>252</v>
      </c>
      <c r="F133">
        <v>130.1</v>
      </c>
      <c r="G133">
        <v>138.80000000000001</v>
      </c>
      <c r="H133">
        <v>130.30000000000001</v>
      </c>
      <c r="I133">
        <v>135.30000000000001</v>
      </c>
      <c r="J133">
        <v>119.9</v>
      </c>
      <c r="K133">
        <v>140.19999999999999</v>
      </c>
      <c r="L133">
        <v>156.9</v>
      </c>
      <c r="M133">
        <v>172.2</v>
      </c>
      <c r="N133">
        <v>112.1</v>
      </c>
      <c r="O133">
        <v>134.9</v>
      </c>
      <c r="P133">
        <v>128.1</v>
      </c>
      <c r="Q133">
        <v>140.69999999999999</v>
      </c>
      <c r="R133">
        <v>138</v>
      </c>
      <c r="S133">
        <v>138.9</v>
      </c>
      <c r="T133">
        <v>137.80000000000001</v>
      </c>
      <c r="U133">
        <v>133</v>
      </c>
      <c r="V133">
        <v>137.1</v>
      </c>
      <c r="W133">
        <v>127.3</v>
      </c>
      <c r="X133">
        <v>129.1</v>
      </c>
      <c r="Y133">
        <v>130.6</v>
      </c>
      <c r="Z133">
        <v>127</v>
      </c>
      <c r="AA133">
        <v>116</v>
      </c>
      <c r="AB133">
        <v>125.5</v>
      </c>
      <c r="AC133">
        <v>131.9</v>
      </c>
      <c r="AD133">
        <v>122</v>
      </c>
      <c r="AE133">
        <v>124.2</v>
      </c>
      <c r="AF133">
        <v>133.5</v>
      </c>
    </row>
    <row r="134" spans="2:32" x14ac:dyDescent="0.3">
      <c r="B134" t="s">
        <v>33</v>
      </c>
      <c r="C134">
        <v>2016</v>
      </c>
      <c r="D134" t="s">
        <v>41</v>
      </c>
      <c r="E134" s="40" t="s">
        <v>252</v>
      </c>
      <c r="F134">
        <v>127.6</v>
      </c>
      <c r="G134">
        <v>140.30000000000001</v>
      </c>
      <c r="H134">
        <v>133.69999999999999</v>
      </c>
      <c r="I134">
        <v>132.19999999999999</v>
      </c>
      <c r="J134">
        <v>111.8</v>
      </c>
      <c r="K134">
        <v>135.80000000000001</v>
      </c>
      <c r="L134">
        <v>163.5</v>
      </c>
      <c r="M134">
        <v>182.3</v>
      </c>
      <c r="N134">
        <v>114.6</v>
      </c>
      <c r="O134">
        <v>144.6</v>
      </c>
      <c r="P134">
        <v>121.9</v>
      </c>
      <c r="Q134">
        <v>138.1</v>
      </c>
      <c r="R134">
        <v>137.6</v>
      </c>
      <c r="S134">
        <v>143.6</v>
      </c>
      <c r="T134">
        <v>128.30000000000001</v>
      </c>
      <c r="U134">
        <v>121.4</v>
      </c>
      <c r="V134">
        <v>127.3</v>
      </c>
      <c r="W134">
        <v>127.3</v>
      </c>
      <c r="X134">
        <v>114.7</v>
      </c>
      <c r="Y134">
        <v>123.9</v>
      </c>
      <c r="Z134">
        <v>121.2</v>
      </c>
      <c r="AA134">
        <v>110.4</v>
      </c>
      <c r="AB134">
        <v>120.6</v>
      </c>
      <c r="AC134">
        <v>131.5</v>
      </c>
      <c r="AD134">
        <v>120.9</v>
      </c>
      <c r="AE134">
        <v>119.9</v>
      </c>
      <c r="AF134">
        <v>128.4</v>
      </c>
    </row>
    <row r="135" spans="2:32" x14ac:dyDescent="0.3">
      <c r="B135" t="s">
        <v>34</v>
      </c>
      <c r="C135">
        <v>2016</v>
      </c>
      <c r="D135" t="s">
        <v>41</v>
      </c>
      <c r="E135" s="40" t="s">
        <v>252</v>
      </c>
      <c r="F135">
        <v>129.30000000000001</v>
      </c>
      <c r="G135">
        <v>139.30000000000001</v>
      </c>
      <c r="H135">
        <v>131.6</v>
      </c>
      <c r="I135">
        <v>134.1</v>
      </c>
      <c r="J135">
        <v>116.9</v>
      </c>
      <c r="K135">
        <v>138.1</v>
      </c>
      <c r="L135">
        <v>159.1</v>
      </c>
      <c r="M135">
        <v>175.6</v>
      </c>
      <c r="N135">
        <v>112.9</v>
      </c>
      <c r="O135">
        <v>138.1</v>
      </c>
      <c r="P135">
        <v>125.5</v>
      </c>
      <c r="Q135">
        <v>139.5</v>
      </c>
      <c r="R135">
        <v>137.9</v>
      </c>
      <c r="S135">
        <v>140.19999999999999</v>
      </c>
      <c r="T135">
        <v>134.1</v>
      </c>
      <c r="U135">
        <v>128.19999999999999</v>
      </c>
      <c r="V135">
        <v>133.19999999999999</v>
      </c>
      <c r="W135">
        <v>127.3</v>
      </c>
      <c r="X135">
        <v>123.6</v>
      </c>
      <c r="Y135">
        <v>127.4</v>
      </c>
      <c r="Z135">
        <v>124.8</v>
      </c>
      <c r="AA135">
        <v>113.1</v>
      </c>
      <c r="AB135">
        <v>122.7</v>
      </c>
      <c r="AC135">
        <v>131.69999999999999</v>
      </c>
      <c r="AD135">
        <v>121.5</v>
      </c>
      <c r="AE135">
        <v>122.1</v>
      </c>
      <c r="AF135">
        <v>131.1</v>
      </c>
    </row>
    <row r="136" spans="2:32" x14ac:dyDescent="0.3">
      <c r="B136" t="s">
        <v>30</v>
      </c>
      <c r="C136">
        <v>2016</v>
      </c>
      <c r="D136" t="s">
        <v>42</v>
      </c>
      <c r="E136" s="40" t="s">
        <v>253</v>
      </c>
      <c r="F136">
        <v>130.80000000000001</v>
      </c>
      <c r="G136">
        <v>138.19999999999999</v>
      </c>
      <c r="H136">
        <v>130.5</v>
      </c>
      <c r="I136">
        <v>135.5</v>
      </c>
      <c r="J136">
        <v>120.2</v>
      </c>
      <c r="K136">
        <v>139.19999999999999</v>
      </c>
      <c r="L136">
        <v>149.5</v>
      </c>
      <c r="M136">
        <v>170.4</v>
      </c>
      <c r="N136">
        <v>113.1</v>
      </c>
      <c r="O136">
        <v>135.80000000000001</v>
      </c>
      <c r="P136">
        <v>128.80000000000001</v>
      </c>
      <c r="Q136">
        <v>141.5</v>
      </c>
      <c r="R136">
        <v>137.19999999999999</v>
      </c>
      <c r="S136">
        <v>139.9</v>
      </c>
      <c r="T136">
        <v>138.5</v>
      </c>
      <c r="U136">
        <v>133.5</v>
      </c>
      <c r="V136">
        <v>137.80000000000001</v>
      </c>
      <c r="W136">
        <v>127.9</v>
      </c>
      <c r="X136">
        <v>129.69999999999999</v>
      </c>
      <c r="Y136">
        <v>131.1</v>
      </c>
      <c r="Z136">
        <v>127.8</v>
      </c>
      <c r="AA136">
        <v>117</v>
      </c>
      <c r="AB136">
        <v>125.7</v>
      </c>
      <c r="AC136">
        <v>132.19999999999999</v>
      </c>
      <c r="AD136">
        <v>122.8</v>
      </c>
      <c r="AE136">
        <v>124.9</v>
      </c>
      <c r="AF136">
        <v>133.4</v>
      </c>
    </row>
    <row r="137" spans="2:32" x14ac:dyDescent="0.3">
      <c r="B137" t="s">
        <v>33</v>
      </c>
      <c r="C137">
        <v>2016</v>
      </c>
      <c r="D137" t="s">
        <v>42</v>
      </c>
      <c r="E137" s="40" t="s">
        <v>253</v>
      </c>
      <c r="F137">
        <v>128.1</v>
      </c>
      <c r="G137">
        <v>137.69999999999999</v>
      </c>
      <c r="H137">
        <v>130.6</v>
      </c>
      <c r="I137">
        <v>132.6</v>
      </c>
      <c r="J137">
        <v>111.9</v>
      </c>
      <c r="K137">
        <v>132.5</v>
      </c>
      <c r="L137">
        <v>152.9</v>
      </c>
      <c r="M137">
        <v>173.6</v>
      </c>
      <c r="N137">
        <v>115.1</v>
      </c>
      <c r="O137">
        <v>144.80000000000001</v>
      </c>
      <c r="P137">
        <v>122.1</v>
      </c>
      <c r="Q137">
        <v>138.80000000000001</v>
      </c>
      <c r="R137">
        <v>135.69999999999999</v>
      </c>
      <c r="S137">
        <v>143.9</v>
      </c>
      <c r="T137">
        <v>128.69999999999999</v>
      </c>
      <c r="U137">
        <v>121.6</v>
      </c>
      <c r="V137">
        <v>127.7</v>
      </c>
      <c r="W137">
        <v>127.9</v>
      </c>
      <c r="X137">
        <v>114.8</v>
      </c>
      <c r="Y137">
        <v>124.3</v>
      </c>
      <c r="Z137">
        <v>121.4</v>
      </c>
      <c r="AA137">
        <v>111.8</v>
      </c>
      <c r="AB137">
        <v>120.8</v>
      </c>
      <c r="AC137">
        <v>131.6</v>
      </c>
      <c r="AD137">
        <v>121.2</v>
      </c>
      <c r="AE137">
        <v>120.5</v>
      </c>
      <c r="AF137">
        <v>128</v>
      </c>
    </row>
    <row r="138" spans="2:32" x14ac:dyDescent="0.3">
      <c r="B138" t="s">
        <v>34</v>
      </c>
      <c r="C138">
        <v>2016</v>
      </c>
      <c r="D138" t="s">
        <v>42</v>
      </c>
      <c r="E138" s="40" t="s">
        <v>253</v>
      </c>
      <c r="F138">
        <v>129.9</v>
      </c>
      <c r="G138">
        <v>138</v>
      </c>
      <c r="H138">
        <v>130.5</v>
      </c>
      <c r="I138">
        <v>134.4</v>
      </c>
      <c r="J138">
        <v>117.2</v>
      </c>
      <c r="K138">
        <v>136.1</v>
      </c>
      <c r="L138">
        <v>150.69999999999999</v>
      </c>
      <c r="M138">
        <v>171.5</v>
      </c>
      <c r="N138">
        <v>113.8</v>
      </c>
      <c r="O138">
        <v>138.80000000000001</v>
      </c>
      <c r="P138">
        <v>126</v>
      </c>
      <c r="Q138">
        <v>140.19999999999999</v>
      </c>
      <c r="R138">
        <v>136.6</v>
      </c>
      <c r="S138">
        <v>141</v>
      </c>
      <c r="T138">
        <v>134.6</v>
      </c>
      <c r="U138">
        <v>128.6</v>
      </c>
      <c r="V138">
        <v>133.80000000000001</v>
      </c>
      <c r="W138">
        <v>127.9</v>
      </c>
      <c r="X138">
        <v>124.1</v>
      </c>
      <c r="Y138">
        <v>127.9</v>
      </c>
      <c r="Z138">
        <v>125.4</v>
      </c>
      <c r="AA138">
        <v>114.3</v>
      </c>
      <c r="AB138">
        <v>122.9</v>
      </c>
      <c r="AC138">
        <v>131.80000000000001</v>
      </c>
      <c r="AD138">
        <v>122.1</v>
      </c>
      <c r="AE138">
        <v>122.8</v>
      </c>
      <c r="AF138">
        <v>130.9</v>
      </c>
    </row>
    <row r="139" spans="2:32" x14ac:dyDescent="0.3">
      <c r="B139" t="s">
        <v>30</v>
      </c>
      <c r="C139">
        <v>2016</v>
      </c>
      <c r="D139" t="s">
        <v>43</v>
      </c>
      <c r="E139" s="40" t="s">
        <v>254</v>
      </c>
      <c r="F139">
        <v>131.30000000000001</v>
      </c>
      <c r="G139">
        <v>137.6</v>
      </c>
      <c r="H139">
        <v>130.1</v>
      </c>
      <c r="I139">
        <v>136</v>
      </c>
      <c r="J139">
        <v>120.8</v>
      </c>
      <c r="K139">
        <v>138.4</v>
      </c>
      <c r="L139">
        <v>149.19999999999999</v>
      </c>
      <c r="M139">
        <v>170.2</v>
      </c>
      <c r="N139">
        <v>113.4</v>
      </c>
      <c r="O139">
        <v>136.30000000000001</v>
      </c>
      <c r="P139">
        <v>128.69999999999999</v>
      </c>
      <c r="Q139">
        <v>142.4</v>
      </c>
      <c r="R139">
        <v>137.4</v>
      </c>
      <c r="S139">
        <v>140.9</v>
      </c>
      <c r="T139">
        <v>139.6</v>
      </c>
      <c r="U139">
        <v>134.30000000000001</v>
      </c>
      <c r="V139">
        <v>138.80000000000001</v>
      </c>
      <c r="W139">
        <v>128.69999999999999</v>
      </c>
      <c r="X139">
        <v>129.80000000000001</v>
      </c>
      <c r="Y139">
        <v>131.80000000000001</v>
      </c>
      <c r="Z139">
        <v>128.69999999999999</v>
      </c>
      <c r="AA139">
        <v>117.8</v>
      </c>
      <c r="AB139">
        <v>126.5</v>
      </c>
      <c r="AC139">
        <v>133</v>
      </c>
      <c r="AD139">
        <v>123</v>
      </c>
      <c r="AE139">
        <v>125.7</v>
      </c>
      <c r="AF139">
        <v>133.80000000000001</v>
      </c>
    </row>
    <row r="140" spans="2:32" x14ac:dyDescent="0.3">
      <c r="B140" t="s">
        <v>33</v>
      </c>
      <c r="C140">
        <v>2016</v>
      </c>
      <c r="D140" t="s">
        <v>43</v>
      </c>
      <c r="E140" s="40" t="s">
        <v>254</v>
      </c>
      <c r="F140">
        <v>128.69999999999999</v>
      </c>
      <c r="G140">
        <v>138.4</v>
      </c>
      <c r="H140">
        <v>130.30000000000001</v>
      </c>
      <c r="I140">
        <v>132.69999999999999</v>
      </c>
      <c r="J140">
        <v>112.5</v>
      </c>
      <c r="K140">
        <v>130.4</v>
      </c>
      <c r="L140">
        <v>155.1</v>
      </c>
      <c r="M140">
        <v>175.7</v>
      </c>
      <c r="N140">
        <v>115.4</v>
      </c>
      <c r="O140">
        <v>145.30000000000001</v>
      </c>
      <c r="P140">
        <v>122.5</v>
      </c>
      <c r="Q140">
        <v>139.6</v>
      </c>
      <c r="R140">
        <v>136.30000000000001</v>
      </c>
      <c r="S140">
        <v>144.30000000000001</v>
      </c>
      <c r="T140">
        <v>129.1</v>
      </c>
      <c r="U140">
        <v>121.9</v>
      </c>
      <c r="V140">
        <v>128</v>
      </c>
      <c r="W140">
        <v>128.69999999999999</v>
      </c>
      <c r="X140">
        <v>115.2</v>
      </c>
      <c r="Y140">
        <v>124.5</v>
      </c>
      <c r="Z140">
        <v>121.8</v>
      </c>
      <c r="AA140">
        <v>112.8</v>
      </c>
      <c r="AB140">
        <v>121.2</v>
      </c>
      <c r="AC140">
        <v>131.9</v>
      </c>
      <c r="AD140">
        <v>120.8</v>
      </c>
      <c r="AE140">
        <v>120.9</v>
      </c>
      <c r="AF140">
        <v>128.6</v>
      </c>
    </row>
    <row r="141" spans="2:32" x14ac:dyDescent="0.3">
      <c r="B141" t="s">
        <v>34</v>
      </c>
      <c r="C141">
        <v>2016</v>
      </c>
      <c r="D141" t="s">
        <v>43</v>
      </c>
      <c r="E141" s="40" t="s">
        <v>254</v>
      </c>
      <c r="F141">
        <v>130.5</v>
      </c>
      <c r="G141">
        <v>137.9</v>
      </c>
      <c r="H141">
        <v>130.19999999999999</v>
      </c>
      <c r="I141">
        <v>134.80000000000001</v>
      </c>
      <c r="J141">
        <v>117.8</v>
      </c>
      <c r="K141">
        <v>134.69999999999999</v>
      </c>
      <c r="L141">
        <v>151.19999999999999</v>
      </c>
      <c r="M141">
        <v>172.1</v>
      </c>
      <c r="N141">
        <v>114.1</v>
      </c>
      <c r="O141">
        <v>139.30000000000001</v>
      </c>
      <c r="P141">
        <v>126.1</v>
      </c>
      <c r="Q141">
        <v>141.1</v>
      </c>
      <c r="R141">
        <v>137</v>
      </c>
      <c r="S141">
        <v>141.80000000000001</v>
      </c>
      <c r="T141">
        <v>135.5</v>
      </c>
      <c r="U141">
        <v>129.1</v>
      </c>
      <c r="V141">
        <v>134.5</v>
      </c>
      <c r="W141">
        <v>128.69999999999999</v>
      </c>
      <c r="X141">
        <v>124.3</v>
      </c>
      <c r="Y141">
        <v>128.4</v>
      </c>
      <c r="Z141">
        <v>126.1</v>
      </c>
      <c r="AA141">
        <v>115.2</v>
      </c>
      <c r="AB141">
        <v>123.5</v>
      </c>
      <c r="AC141">
        <v>132.4</v>
      </c>
      <c r="AD141">
        <v>122.1</v>
      </c>
      <c r="AE141">
        <v>123.4</v>
      </c>
      <c r="AF141">
        <v>131.4</v>
      </c>
    </row>
    <row r="142" spans="2:32" x14ac:dyDescent="0.3">
      <c r="B142" t="s">
        <v>30</v>
      </c>
      <c r="C142">
        <v>2016</v>
      </c>
      <c r="D142" t="s">
        <v>45</v>
      </c>
      <c r="E142" s="40" t="s">
        <v>255</v>
      </c>
      <c r="F142">
        <v>132</v>
      </c>
      <c r="G142">
        <v>137.4</v>
      </c>
      <c r="H142">
        <v>130.6</v>
      </c>
      <c r="I142">
        <v>136.19999999999999</v>
      </c>
      <c r="J142">
        <v>121.1</v>
      </c>
      <c r="K142">
        <v>136.9</v>
      </c>
      <c r="L142">
        <v>141.80000000000001</v>
      </c>
      <c r="M142">
        <v>170</v>
      </c>
      <c r="N142">
        <v>113.4</v>
      </c>
      <c r="O142">
        <v>136.80000000000001</v>
      </c>
      <c r="P142">
        <v>128.69999999999999</v>
      </c>
      <c r="Q142">
        <v>143.1</v>
      </c>
      <c r="R142">
        <v>136.6</v>
      </c>
      <c r="S142">
        <v>141.19999999999999</v>
      </c>
      <c r="T142">
        <v>139.9</v>
      </c>
      <c r="U142">
        <v>134.5</v>
      </c>
      <c r="V142">
        <v>139.19999999999999</v>
      </c>
      <c r="W142">
        <v>129.1</v>
      </c>
      <c r="X142">
        <v>130.30000000000001</v>
      </c>
      <c r="Y142">
        <v>132.1</v>
      </c>
      <c r="Z142">
        <v>129.1</v>
      </c>
      <c r="AA142">
        <v>118.2</v>
      </c>
      <c r="AB142">
        <v>126.9</v>
      </c>
      <c r="AC142">
        <v>133.69999999999999</v>
      </c>
      <c r="AD142">
        <v>123.5</v>
      </c>
      <c r="AE142">
        <v>126.1</v>
      </c>
      <c r="AF142">
        <v>133.6</v>
      </c>
    </row>
    <row r="143" spans="2:32" x14ac:dyDescent="0.3">
      <c r="B143" t="s">
        <v>33</v>
      </c>
      <c r="C143">
        <v>2016</v>
      </c>
      <c r="D143" t="s">
        <v>45</v>
      </c>
      <c r="E143" s="40" t="s">
        <v>255</v>
      </c>
      <c r="F143">
        <v>130.19999999999999</v>
      </c>
      <c r="G143">
        <v>138.5</v>
      </c>
      <c r="H143">
        <v>134.1</v>
      </c>
      <c r="I143">
        <v>132.9</v>
      </c>
      <c r="J143">
        <v>112.6</v>
      </c>
      <c r="K143">
        <v>130.80000000000001</v>
      </c>
      <c r="L143">
        <v>142</v>
      </c>
      <c r="M143">
        <v>174.9</v>
      </c>
      <c r="N143">
        <v>115.6</v>
      </c>
      <c r="O143">
        <v>145.4</v>
      </c>
      <c r="P143">
        <v>122.7</v>
      </c>
      <c r="Q143">
        <v>140.30000000000001</v>
      </c>
      <c r="R143">
        <v>135.19999999999999</v>
      </c>
      <c r="S143">
        <v>144.30000000000001</v>
      </c>
      <c r="T143">
        <v>129.6</v>
      </c>
      <c r="U143">
        <v>122.1</v>
      </c>
      <c r="V143">
        <v>128.5</v>
      </c>
      <c r="W143">
        <v>129.1</v>
      </c>
      <c r="X143">
        <v>116.2</v>
      </c>
      <c r="Y143">
        <v>124.7</v>
      </c>
      <c r="Z143">
        <v>122.1</v>
      </c>
      <c r="AA143">
        <v>113.4</v>
      </c>
      <c r="AB143">
        <v>121.7</v>
      </c>
      <c r="AC143">
        <v>132.1</v>
      </c>
      <c r="AD143">
        <v>121.3</v>
      </c>
      <c r="AE143">
        <v>121.3</v>
      </c>
      <c r="AF143">
        <v>128.5</v>
      </c>
    </row>
    <row r="144" spans="2:32" x14ac:dyDescent="0.3">
      <c r="B144" t="s">
        <v>34</v>
      </c>
      <c r="C144">
        <v>2016</v>
      </c>
      <c r="D144" t="s">
        <v>45</v>
      </c>
      <c r="E144" s="40" t="s">
        <v>255</v>
      </c>
      <c r="F144">
        <v>131.4</v>
      </c>
      <c r="G144">
        <v>137.80000000000001</v>
      </c>
      <c r="H144">
        <v>132</v>
      </c>
      <c r="I144">
        <v>135</v>
      </c>
      <c r="J144">
        <v>118</v>
      </c>
      <c r="K144">
        <v>134.1</v>
      </c>
      <c r="L144">
        <v>141.9</v>
      </c>
      <c r="M144">
        <v>171.7</v>
      </c>
      <c r="N144">
        <v>114.1</v>
      </c>
      <c r="O144">
        <v>139.69999999999999</v>
      </c>
      <c r="P144">
        <v>126.2</v>
      </c>
      <c r="Q144">
        <v>141.80000000000001</v>
      </c>
      <c r="R144">
        <v>136.1</v>
      </c>
      <c r="S144">
        <v>142</v>
      </c>
      <c r="T144">
        <v>135.80000000000001</v>
      </c>
      <c r="U144">
        <v>129.30000000000001</v>
      </c>
      <c r="V144">
        <v>135</v>
      </c>
      <c r="W144">
        <v>129.1</v>
      </c>
      <c r="X144">
        <v>125</v>
      </c>
      <c r="Y144">
        <v>128.6</v>
      </c>
      <c r="Z144">
        <v>126.4</v>
      </c>
      <c r="AA144">
        <v>115.7</v>
      </c>
      <c r="AB144">
        <v>124</v>
      </c>
      <c r="AC144">
        <v>132.80000000000001</v>
      </c>
      <c r="AD144">
        <v>122.6</v>
      </c>
      <c r="AE144">
        <v>123.8</v>
      </c>
      <c r="AF144">
        <v>131.19999999999999</v>
      </c>
    </row>
    <row r="145" spans="2:32" x14ac:dyDescent="0.3">
      <c r="B145" t="s">
        <v>30</v>
      </c>
      <c r="C145">
        <v>2016</v>
      </c>
      <c r="D145" t="s">
        <v>46</v>
      </c>
      <c r="E145" s="40" t="s">
        <v>256</v>
      </c>
      <c r="F145">
        <v>132.6</v>
      </c>
      <c r="G145">
        <v>137.30000000000001</v>
      </c>
      <c r="H145">
        <v>131.6</v>
      </c>
      <c r="I145">
        <v>136.30000000000001</v>
      </c>
      <c r="J145">
        <v>121.6</v>
      </c>
      <c r="K145">
        <v>135.6</v>
      </c>
      <c r="L145">
        <v>127.5</v>
      </c>
      <c r="M145">
        <v>167.9</v>
      </c>
      <c r="N145">
        <v>113.8</v>
      </c>
      <c r="O145">
        <v>137.5</v>
      </c>
      <c r="P145">
        <v>129.1</v>
      </c>
      <c r="Q145">
        <v>143.6</v>
      </c>
      <c r="R145">
        <v>134.69999999999999</v>
      </c>
      <c r="S145">
        <v>142.4</v>
      </c>
      <c r="T145">
        <v>140.4</v>
      </c>
      <c r="U145">
        <v>135.19999999999999</v>
      </c>
      <c r="V145">
        <v>139.69999999999999</v>
      </c>
      <c r="W145">
        <v>128.5</v>
      </c>
      <c r="X145">
        <v>132</v>
      </c>
      <c r="Y145">
        <v>132.9</v>
      </c>
      <c r="Z145">
        <v>129.69999999999999</v>
      </c>
      <c r="AA145">
        <v>118.6</v>
      </c>
      <c r="AB145">
        <v>127.3</v>
      </c>
      <c r="AC145">
        <v>134.19999999999999</v>
      </c>
      <c r="AD145">
        <v>121.9</v>
      </c>
      <c r="AE145">
        <v>126.3</v>
      </c>
      <c r="AF145">
        <v>132.80000000000001</v>
      </c>
    </row>
    <row r="146" spans="2:32" x14ac:dyDescent="0.3">
      <c r="B146" t="s">
        <v>33</v>
      </c>
      <c r="C146">
        <v>2016</v>
      </c>
      <c r="D146" t="s">
        <v>46</v>
      </c>
      <c r="E146" s="40" t="s">
        <v>256</v>
      </c>
      <c r="F146">
        <v>131.6</v>
      </c>
      <c r="G146">
        <v>138.19999999999999</v>
      </c>
      <c r="H146">
        <v>134.9</v>
      </c>
      <c r="I146">
        <v>133.1</v>
      </c>
      <c r="J146">
        <v>113.5</v>
      </c>
      <c r="K146">
        <v>129.30000000000001</v>
      </c>
      <c r="L146">
        <v>121.1</v>
      </c>
      <c r="M146">
        <v>170.3</v>
      </c>
      <c r="N146">
        <v>115.5</v>
      </c>
      <c r="O146">
        <v>145.5</v>
      </c>
      <c r="P146">
        <v>123.1</v>
      </c>
      <c r="Q146">
        <v>140.9</v>
      </c>
      <c r="R146">
        <v>132.80000000000001</v>
      </c>
      <c r="S146">
        <v>145</v>
      </c>
      <c r="T146">
        <v>130</v>
      </c>
      <c r="U146">
        <v>122.2</v>
      </c>
      <c r="V146">
        <v>128.80000000000001</v>
      </c>
      <c r="W146">
        <v>128.5</v>
      </c>
      <c r="X146">
        <v>117.8</v>
      </c>
      <c r="Y146">
        <v>125</v>
      </c>
      <c r="Z146">
        <v>122.3</v>
      </c>
      <c r="AA146">
        <v>113.7</v>
      </c>
      <c r="AB146">
        <v>121.8</v>
      </c>
      <c r="AC146">
        <v>132.30000000000001</v>
      </c>
      <c r="AD146">
        <v>119.9</v>
      </c>
      <c r="AE146">
        <v>121.4</v>
      </c>
      <c r="AF146">
        <v>127.6</v>
      </c>
    </row>
    <row r="147" spans="2:32" x14ac:dyDescent="0.3">
      <c r="B147" t="s">
        <v>34</v>
      </c>
      <c r="C147">
        <v>2016</v>
      </c>
      <c r="D147" t="s">
        <v>46</v>
      </c>
      <c r="E147" s="40" t="s">
        <v>256</v>
      </c>
      <c r="F147">
        <v>132.30000000000001</v>
      </c>
      <c r="G147">
        <v>137.6</v>
      </c>
      <c r="H147">
        <v>132.9</v>
      </c>
      <c r="I147">
        <v>135.1</v>
      </c>
      <c r="J147">
        <v>118.6</v>
      </c>
      <c r="K147">
        <v>132.69999999999999</v>
      </c>
      <c r="L147">
        <v>125.3</v>
      </c>
      <c r="M147">
        <v>168.7</v>
      </c>
      <c r="N147">
        <v>114.4</v>
      </c>
      <c r="O147">
        <v>140.19999999999999</v>
      </c>
      <c r="P147">
        <v>126.6</v>
      </c>
      <c r="Q147">
        <v>142.30000000000001</v>
      </c>
      <c r="R147">
        <v>134</v>
      </c>
      <c r="S147">
        <v>143.1</v>
      </c>
      <c r="T147">
        <v>136.30000000000001</v>
      </c>
      <c r="U147">
        <v>129.80000000000001</v>
      </c>
      <c r="V147">
        <v>135.4</v>
      </c>
      <c r="W147">
        <v>128.5</v>
      </c>
      <c r="X147">
        <v>126.6</v>
      </c>
      <c r="Y147">
        <v>129.19999999999999</v>
      </c>
      <c r="Z147">
        <v>126.9</v>
      </c>
      <c r="AA147">
        <v>116</v>
      </c>
      <c r="AB147">
        <v>124.2</v>
      </c>
      <c r="AC147">
        <v>133.1</v>
      </c>
      <c r="AD147">
        <v>121.1</v>
      </c>
      <c r="AE147">
        <v>123.9</v>
      </c>
      <c r="AF147">
        <v>130.4</v>
      </c>
    </row>
    <row r="148" spans="2:32" x14ac:dyDescent="0.3">
      <c r="B148" t="s">
        <v>30</v>
      </c>
      <c r="C148">
        <v>2017</v>
      </c>
      <c r="D148" t="s">
        <v>31</v>
      </c>
      <c r="E148" s="40" t="s">
        <v>257</v>
      </c>
      <c r="F148">
        <v>133.1</v>
      </c>
      <c r="G148">
        <v>137.80000000000001</v>
      </c>
      <c r="H148">
        <v>131.9</v>
      </c>
      <c r="I148">
        <v>136.69999999999999</v>
      </c>
      <c r="J148">
        <v>122</v>
      </c>
      <c r="K148">
        <v>136</v>
      </c>
      <c r="L148">
        <v>119.8</v>
      </c>
      <c r="M148">
        <v>161.69999999999999</v>
      </c>
      <c r="N148">
        <v>114.8</v>
      </c>
      <c r="O148">
        <v>136.9</v>
      </c>
      <c r="P148">
        <v>129</v>
      </c>
      <c r="Q148">
        <v>143.9</v>
      </c>
      <c r="R148">
        <v>133.69999999999999</v>
      </c>
      <c r="S148">
        <v>143.1</v>
      </c>
      <c r="T148">
        <v>140.69999999999999</v>
      </c>
      <c r="U148">
        <v>135.80000000000001</v>
      </c>
      <c r="V148">
        <v>140</v>
      </c>
      <c r="W148">
        <v>129.6</v>
      </c>
      <c r="X148">
        <v>132.1</v>
      </c>
      <c r="Y148">
        <v>133.19999999999999</v>
      </c>
      <c r="Z148">
        <v>129.9</v>
      </c>
      <c r="AA148">
        <v>119.1</v>
      </c>
      <c r="AB148">
        <v>127</v>
      </c>
      <c r="AC148">
        <v>134.6</v>
      </c>
      <c r="AD148">
        <v>122.3</v>
      </c>
      <c r="AE148">
        <v>126.6</v>
      </c>
      <c r="AF148">
        <v>132.4</v>
      </c>
    </row>
    <row r="149" spans="2:32" x14ac:dyDescent="0.3">
      <c r="B149" t="s">
        <v>33</v>
      </c>
      <c r="C149">
        <v>2017</v>
      </c>
      <c r="D149" t="s">
        <v>31</v>
      </c>
      <c r="E149" s="40" t="s">
        <v>257</v>
      </c>
      <c r="F149">
        <v>132.19999999999999</v>
      </c>
      <c r="G149">
        <v>138.9</v>
      </c>
      <c r="H149">
        <v>132.6</v>
      </c>
      <c r="I149">
        <v>133.1</v>
      </c>
      <c r="J149">
        <v>114</v>
      </c>
      <c r="K149">
        <v>129.6</v>
      </c>
      <c r="L149">
        <v>118.7</v>
      </c>
      <c r="M149">
        <v>155.1</v>
      </c>
      <c r="N149">
        <v>117.3</v>
      </c>
      <c r="O149">
        <v>144.9</v>
      </c>
      <c r="P149">
        <v>123.2</v>
      </c>
      <c r="Q149">
        <v>141.6</v>
      </c>
      <c r="R149">
        <v>132</v>
      </c>
      <c r="S149">
        <v>145.6</v>
      </c>
      <c r="T149">
        <v>130.19999999999999</v>
      </c>
      <c r="U149">
        <v>122.3</v>
      </c>
      <c r="V149">
        <v>129</v>
      </c>
      <c r="W149">
        <v>129.6</v>
      </c>
      <c r="X149">
        <v>118</v>
      </c>
      <c r="Y149">
        <v>125.1</v>
      </c>
      <c r="Z149">
        <v>122.6</v>
      </c>
      <c r="AA149">
        <v>115.2</v>
      </c>
      <c r="AB149">
        <v>122</v>
      </c>
      <c r="AC149">
        <v>132.4</v>
      </c>
      <c r="AD149">
        <v>120.9</v>
      </c>
      <c r="AE149">
        <v>122.1</v>
      </c>
      <c r="AF149">
        <v>127.8</v>
      </c>
    </row>
    <row r="150" spans="2:32" x14ac:dyDescent="0.3">
      <c r="B150" t="s">
        <v>34</v>
      </c>
      <c r="C150">
        <v>2017</v>
      </c>
      <c r="D150" t="s">
        <v>31</v>
      </c>
      <c r="E150" s="40" t="s">
        <v>257</v>
      </c>
      <c r="F150">
        <v>132.80000000000001</v>
      </c>
      <c r="G150">
        <v>138.19999999999999</v>
      </c>
      <c r="H150">
        <v>132.19999999999999</v>
      </c>
      <c r="I150">
        <v>135.4</v>
      </c>
      <c r="J150">
        <v>119.1</v>
      </c>
      <c r="K150">
        <v>133</v>
      </c>
      <c r="L150">
        <v>119.4</v>
      </c>
      <c r="M150">
        <v>159.5</v>
      </c>
      <c r="N150">
        <v>115.6</v>
      </c>
      <c r="O150">
        <v>139.6</v>
      </c>
      <c r="P150">
        <v>126.6</v>
      </c>
      <c r="Q150">
        <v>142.80000000000001</v>
      </c>
      <c r="R150">
        <v>133.1</v>
      </c>
      <c r="S150">
        <v>143.80000000000001</v>
      </c>
      <c r="T150">
        <v>136.6</v>
      </c>
      <c r="U150">
        <v>130.19999999999999</v>
      </c>
      <c r="V150">
        <v>135.6</v>
      </c>
      <c r="W150">
        <v>129.6</v>
      </c>
      <c r="X150">
        <v>126.8</v>
      </c>
      <c r="Y150">
        <v>129.4</v>
      </c>
      <c r="Z150">
        <v>127.1</v>
      </c>
      <c r="AA150">
        <v>117</v>
      </c>
      <c r="AB150">
        <v>124.2</v>
      </c>
      <c r="AC150">
        <v>133.30000000000001</v>
      </c>
      <c r="AD150">
        <v>121.7</v>
      </c>
      <c r="AE150">
        <v>124.4</v>
      </c>
      <c r="AF150">
        <v>130.30000000000001</v>
      </c>
    </row>
    <row r="151" spans="2:32" x14ac:dyDescent="0.3">
      <c r="B151" t="s">
        <v>30</v>
      </c>
      <c r="C151">
        <v>2017</v>
      </c>
      <c r="D151" t="s">
        <v>35</v>
      </c>
      <c r="E151" s="40" t="s">
        <v>258</v>
      </c>
      <c r="F151">
        <v>133.30000000000001</v>
      </c>
      <c r="G151">
        <v>138.30000000000001</v>
      </c>
      <c r="H151">
        <v>129.30000000000001</v>
      </c>
      <c r="I151">
        <v>137.19999999999999</v>
      </c>
      <c r="J151">
        <v>122.1</v>
      </c>
      <c r="K151">
        <v>138.69999999999999</v>
      </c>
      <c r="L151">
        <v>119.1</v>
      </c>
      <c r="M151">
        <v>156.9</v>
      </c>
      <c r="N151">
        <v>116.2</v>
      </c>
      <c r="O151">
        <v>136</v>
      </c>
      <c r="P151">
        <v>129.4</v>
      </c>
      <c r="Q151">
        <v>144.4</v>
      </c>
      <c r="R151">
        <v>133.6</v>
      </c>
      <c r="S151">
        <v>143.69999999999999</v>
      </c>
      <c r="T151">
        <v>140.9</v>
      </c>
      <c r="U151">
        <v>135.80000000000001</v>
      </c>
      <c r="V151">
        <v>140.19999999999999</v>
      </c>
      <c r="W151">
        <v>130.5</v>
      </c>
      <c r="X151">
        <v>133.19999999999999</v>
      </c>
      <c r="Y151">
        <v>133.6</v>
      </c>
      <c r="Z151">
        <v>130.1</v>
      </c>
      <c r="AA151">
        <v>119.5</v>
      </c>
      <c r="AB151">
        <v>127.7</v>
      </c>
      <c r="AC151">
        <v>134.9</v>
      </c>
      <c r="AD151">
        <v>123.2</v>
      </c>
      <c r="AE151">
        <v>127</v>
      </c>
      <c r="AF151">
        <v>132.6</v>
      </c>
    </row>
    <row r="152" spans="2:32" x14ac:dyDescent="0.3">
      <c r="B152" t="s">
        <v>33</v>
      </c>
      <c r="C152">
        <v>2017</v>
      </c>
      <c r="D152" t="s">
        <v>35</v>
      </c>
      <c r="E152" s="40" t="s">
        <v>258</v>
      </c>
      <c r="F152">
        <v>132.80000000000001</v>
      </c>
      <c r="G152">
        <v>139.80000000000001</v>
      </c>
      <c r="H152">
        <v>129.30000000000001</v>
      </c>
      <c r="I152">
        <v>133.5</v>
      </c>
      <c r="J152">
        <v>114.3</v>
      </c>
      <c r="K152">
        <v>131.4</v>
      </c>
      <c r="L152">
        <v>120.2</v>
      </c>
      <c r="M152">
        <v>143.1</v>
      </c>
      <c r="N152">
        <v>119.5</v>
      </c>
      <c r="O152">
        <v>144</v>
      </c>
      <c r="P152">
        <v>123.4</v>
      </c>
      <c r="Q152">
        <v>141.9</v>
      </c>
      <c r="R152">
        <v>132.1</v>
      </c>
      <c r="S152">
        <v>146.30000000000001</v>
      </c>
      <c r="T152">
        <v>130.5</v>
      </c>
      <c r="U152">
        <v>122.5</v>
      </c>
      <c r="V152">
        <v>129.30000000000001</v>
      </c>
      <c r="W152">
        <v>130.5</v>
      </c>
      <c r="X152">
        <v>119.2</v>
      </c>
      <c r="Y152">
        <v>125.3</v>
      </c>
      <c r="Z152">
        <v>122.9</v>
      </c>
      <c r="AA152">
        <v>115.5</v>
      </c>
      <c r="AB152">
        <v>122.2</v>
      </c>
      <c r="AC152">
        <v>132.4</v>
      </c>
      <c r="AD152">
        <v>121.7</v>
      </c>
      <c r="AE152">
        <v>122.4</v>
      </c>
      <c r="AF152">
        <v>128.19999999999999</v>
      </c>
    </row>
    <row r="153" spans="2:32" x14ac:dyDescent="0.3">
      <c r="B153" t="s">
        <v>34</v>
      </c>
      <c r="C153">
        <v>2017</v>
      </c>
      <c r="D153" t="s">
        <v>35</v>
      </c>
      <c r="E153" s="40" t="s">
        <v>258</v>
      </c>
      <c r="F153">
        <v>133.1</v>
      </c>
      <c r="G153">
        <v>138.80000000000001</v>
      </c>
      <c r="H153">
        <v>129.30000000000001</v>
      </c>
      <c r="I153">
        <v>135.80000000000001</v>
      </c>
      <c r="J153">
        <v>119.2</v>
      </c>
      <c r="K153">
        <v>135.30000000000001</v>
      </c>
      <c r="L153">
        <v>119.5</v>
      </c>
      <c r="M153">
        <v>152.19999999999999</v>
      </c>
      <c r="N153">
        <v>117.3</v>
      </c>
      <c r="O153">
        <v>138.69999999999999</v>
      </c>
      <c r="P153">
        <v>126.9</v>
      </c>
      <c r="Q153">
        <v>143.19999999999999</v>
      </c>
      <c r="R153">
        <v>133</v>
      </c>
      <c r="S153">
        <v>144.4</v>
      </c>
      <c r="T153">
        <v>136.80000000000001</v>
      </c>
      <c r="U153">
        <v>130.30000000000001</v>
      </c>
      <c r="V153">
        <v>135.9</v>
      </c>
      <c r="W153">
        <v>130.5</v>
      </c>
      <c r="X153">
        <v>127.9</v>
      </c>
      <c r="Y153">
        <v>129.69999999999999</v>
      </c>
      <c r="Z153">
        <v>127.4</v>
      </c>
      <c r="AA153">
        <v>117.4</v>
      </c>
      <c r="AB153">
        <v>124.6</v>
      </c>
      <c r="AC153">
        <v>133.4</v>
      </c>
      <c r="AD153">
        <v>122.6</v>
      </c>
      <c r="AE153">
        <v>124.8</v>
      </c>
      <c r="AF153">
        <v>130.6</v>
      </c>
    </row>
    <row r="154" spans="2:32" x14ac:dyDescent="0.3">
      <c r="B154" t="s">
        <v>30</v>
      </c>
      <c r="C154">
        <v>2017</v>
      </c>
      <c r="D154" t="s">
        <v>36</v>
      </c>
      <c r="E154" s="40" t="s">
        <v>259</v>
      </c>
      <c r="F154">
        <v>133.6</v>
      </c>
      <c r="G154">
        <v>138.80000000000001</v>
      </c>
      <c r="H154">
        <v>128.80000000000001</v>
      </c>
      <c r="I154">
        <v>137.19999999999999</v>
      </c>
      <c r="J154">
        <v>121.6</v>
      </c>
      <c r="K154">
        <v>139.69999999999999</v>
      </c>
      <c r="L154">
        <v>119.7</v>
      </c>
      <c r="M154">
        <v>148</v>
      </c>
      <c r="N154">
        <v>116.9</v>
      </c>
      <c r="O154">
        <v>135.6</v>
      </c>
      <c r="P154">
        <v>129.80000000000001</v>
      </c>
      <c r="Q154">
        <v>145.4</v>
      </c>
      <c r="R154">
        <v>133.4</v>
      </c>
      <c r="S154">
        <v>144.19999999999999</v>
      </c>
      <c r="T154">
        <v>141.6</v>
      </c>
      <c r="U154">
        <v>136.19999999999999</v>
      </c>
      <c r="V154">
        <v>140.80000000000001</v>
      </c>
      <c r="W154">
        <v>131.1</v>
      </c>
      <c r="X154">
        <v>134.19999999999999</v>
      </c>
      <c r="Y154">
        <v>134.1</v>
      </c>
      <c r="Z154">
        <v>130.6</v>
      </c>
      <c r="AA154">
        <v>119.8</v>
      </c>
      <c r="AB154">
        <v>128.30000000000001</v>
      </c>
      <c r="AC154">
        <v>135.19999999999999</v>
      </c>
      <c r="AD154">
        <v>123.3</v>
      </c>
      <c r="AE154">
        <v>127.4</v>
      </c>
      <c r="AF154">
        <v>132.80000000000001</v>
      </c>
    </row>
    <row r="155" spans="2:32" x14ac:dyDescent="0.3">
      <c r="B155" t="s">
        <v>33</v>
      </c>
      <c r="C155">
        <v>2017</v>
      </c>
      <c r="D155" t="s">
        <v>36</v>
      </c>
      <c r="E155" s="40" t="s">
        <v>259</v>
      </c>
      <c r="F155">
        <v>132.69999999999999</v>
      </c>
      <c r="G155">
        <v>139.4</v>
      </c>
      <c r="H155">
        <v>128.4</v>
      </c>
      <c r="I155">
        <v>134.9</v>
      </c>
      <c r="J155">
        <v>114</v>
      </c>
      <c r="K155">
        <v>136.80000000000001</v>
      </c>
      <c r="L155">
        <v>122.2</v>
      </c>
      <c r="M155">
        <v>135.80000000000001</v>
      </c>
      <c r="N155">
        <v>120.3</v>
      </c>
      <c r="O155">
        <v>142.6</v>
      </c>
      <c r="P155">
        <v>123.6</v>
      </c>
      <c r="Q155">
        <v>142.4</v>
      </c>
      <c r="R155">
        <v>132.6</v>
      </c>
      <c r="S155">
        <v>147.5</v>
      </c>
      <c r="T155">
        <v>130.80000000000001</v>
      </c>
      <c r="U155">
        <v>122.8</v>
      </c>
      <c r="V155">
        <v>129.6</v>
      </c>
      <c r="W155">
        <v>131.1</v>
      </c>
      <c r="X155">
        <v>120.8</v>
      </c>
      <c r="Y155">
        <v>125.6</v>
      </c>
      <c r="Z155">
        <v>123.1</v>
      </c>
      <c r="AA155">
        <v>115.6</v>
      </c>
      <c r="AB155">
        <v>122.4</v>
      </c>
      <c r="AC155">
        <v>132.80000000000001</v>
      </c>
      <c r="AD155">
        <v>121.7</v>
      </c>
      <c r="AE155">
        <v>122.6</v>
      </c>
      <c r="AF155">
        <v>128.69999999999999</v>
      </c>
    </row>
    <row r="156" spans="2:32" x14ac:dyDescent="0.3">
      <c r="B156" t="s">
        <v>34</v>
      </c>
      <c r="C156">
        <v>2017</v>
      </c>
      <c r="D156" t="s">
        <v>36</v>
      </c>
      <c r="E156" s="40" t="s">
        <v>259</v>
      </c>
      <c r="F156">
        <v>133.30000000000001</v>
      </c>
      <c r="G156">
        <v>139</v>
      </c>
      <c r="H156">
        <v>128.6</v>
      </c>
      <c r="I156">
        <v>136.30000000000001</v>
      </c>
      <c r="J156">
        <v>118.8</v>
      </c>
      <c r="K156">
        <v>138.30000000000001</v>
      </c>
      <c r="L156">
        <v>120.5</v>
      </c>
      <c r="M156">
        <v>143.9</v>
      </c>
      <c r="N156">
        <v>118</v>
      </c>
      <c r="O156">
        <v>137.9</v>
      </c>
      <c r="P156">
        <v>127.2</v>
      </c>
      <c r="Q156">
        <v>144</v>
      </c>
      <c r="R156">
        <v>133.1</v>
      </c>
      <c r="S156">
        <v>145.1</v>
      </c>
      <c r="T156">
        <v>137.30000000000001</v>
      </c>
      <c r="U156">
        <v>130.6</v>
      </c>
      <c r="V156">
        <v>136.4</v>
      </c>
      <c r="W156">
        <v>131.1</v>
      </c>
      <c r="X156">
        <v>129.1</v>
      </c>
      <c r="Y156">
        <v>130.1</v>
      </c>
      <c r="Z156">
        <v>127.8</v>
      </c>
      <c r="AA156">
        <v>117.6</v>
      </c>
      <c r="AB156">
        <v>125</v>
      </c>
      <c r="AC156">
        <v>133.80000000000001</v>
      </c>
      <c r="AD156">
        <v>122.6</v>
      </c>
      <c r="AE156">
        <v>125.1</v>
      </c>
      <c r="AF156">
        <v>130.9</v>
      </c>
    </row>
    <row r="157" spans="2:32" x14ac:dyDescent="0.3">
      <c r="B157" t="s">
        <v>30</v>
      </c>
      <c r="C157">
        <v>2017</v>
      </c>
      <c r="D157" t="s">
        <v>37</v>
      </c>
      <c r="E157" s="40" t="s">
        <v>260</v>
      </c>
      <c r="F157">
        <v>133.19999999999999</v>
      </c>
      <c r="G157">
        <v>138.69999999999999</v>
      </c>
      <c r="H157">
        <v>127.1</v>
      </c>
      <c r="I157">
        <v>137.69999999999999</v>
      </c>
      <c r="J157">
        <v>121.3</v>
      </c>
      <c r="K157">
        <v>141.80000000000001</v>
      </c>
      <c r="L157">
        <v>121.5</v>
      </c>
      <c r="M157">
        <v>144.5</v>
      </c>
      <c r="N157">
        <v>117.4</v>
      </c>
      <c r="O157">
        <v>134.1</v>
      </c>
      <c r="P157">
        <v>130</v>
      </c>
      <c r="Q157">
        <v>145.5</v>
      </c>
      <c r="R157">
        <v>133.5</v>
      </c>
      <c r="S157">
        <v>144.4</v>
      </c>
      <c r="T157">
        <v>142.4</v>
      </c>
      <c r="U157">
        <v>136.80000000000001</v>
      </c>
      <c r="V157">
        <v>141.6</v>
      </c>
      <c r="W157">
        <v>131.69999999999999</v>
      </c>
      <c r="X157">
        <v>135</v>
      </c>
      <c r="Y157">
        <v>134.30000000000001</v>
      </c>
      <c r="Z157">
        <v>131</v>
      </c>
      <c r="AA157">
        <v>119.2</v>
      </c>
      <c r="AB157">
        <v>128.30000000000001</v>
      </c>
      <c r="AC157">
        <v>135.69999999999999</v>
      </c>
      <c r="AD157">
        <v>123.7</v>
      </c>
      <c r="AE157">
        <v>127.5</v>
      </c>
      <c r="AF157">
        <v>132.9</v>
      </c>
    </row>
    <row r="158" spans="2:32" x14ac:dyDescent="0.3">
      <c r="B158" t="s">
        <v>33</v>
      </c>
      <c r="C158">
        <v>2017</v>
      </c>
      <c r="D158" t="s">
        <v>37</v>
      </c>
      <c r="E158" s="40" t="s">
        <v>260</v>
      </c>
      <c r="F158">
        <v>132.69999999999999</v>
      </c>
      <c r="G158">
        <v>140.6</v>
      </c>
      <c r="H158">
        <v>124.5</v>
      </c>
      <c r="I158">
        <v>136.30000000000001</v>
      </c>
      <c r="J158">
        <v>113.5</v>
      </c>
      <c r="K158">
        <v>137.69999999999999</v>
      </c>
      <c r="L158">
        <v>127.1</v>
      </c>
      <c r="M158">
        <v>133.80000000000001</v>
      </c>
      <c r="N158">
        <v>120.8</v>
      </c>
      <c r="O158">
        <v>141.30000000000001</v>
      </c>
      <c r="P158">
        <v>123.8</v>
      </c>
      <c r="Q158">
        <v>142.6</v>
      </c>
      <c r="R158">
        <v>133.4</v>
      </c>
      <c r="S158">
        <v>148</v>
      </c>
      <c r="T158">
        <v>131.19999999999999</v>
      </c>
      <c r="U158">
        <v>123</v>
      </c>
      <c r="V158">
        <v>130</v>
      </c>
      <c r="W158">
        <v>131.69999999999999</v>
      </c>
      <c r="X158">
        <v>121.4</v>
      </c>
      <c r="Y158">
        <v>126</v>
      </c>
      <c r="Z158">
        <v>123.4</v>
      </c>
      <c r="AA158">
        <v>114.3</v>
      </c>
      <c r="AB158">
        <v>122.6</v>
      </c>
      <c r="AC158">
        <v>133.6</v>
      </c>
      <c r="AD158">
        <v>122.2</v>
      </c>
      <c r="AE158">
        <v>122.5</v>
      </c>
      <c r="AF158">
        <v>129.1</v>
      </c>
    </row>
    <row r="159" spans="2:32" x14ac:dyDescent="0.3">
      <c r="B159" t="s">
        <v>34</v>
      </c>
      <c r="C159">
        <v>2017</v>
      </c>
      <c r="D159" t="s">
        <v>37</v>
      </c>
      <c r="E159" s="40" t="s">
        <v>260</v>
      </c>
      <c r="F159">
        <v>133</v>
      </c>
      <c r="G159">
        <v>139.4</v>
      </c>
      <c r="H159">
        <v>126.1</v>
      </c>
      <c r="I159">
        <v>137.19999999999999</v>
      </c>
      <c r="J159">
        <v>118.4</v>
      </c>
      <c r="K159">
        <v>139.9</v>
      </c>
      <c r="L159">
        <v>123.4</v>
      </c>
      <c r="M159">
        <v>140.9</v>
      </c>
      <c r="N159">
        <v>118.5</v>
      </c>
      <c r="O159">
        <v>136.5</v>
      </c>
      <c r="P159">
        <v>127.4</v>
      </c>
      <c r="Q159">
        <v>144.19999999999999</v>
      </c>
      <c r="R159">
        <v>133.5</v>
      </c>
      <c r="S159">
        <v>145.4</v>
      </c>
      <c r="T159">
        <v>138</v>
      </c>
      <c r="U159">
        <v>131.1</v>
      </c>
      <c r="V159">
        <v>137</v>
      </c>
      <c r="W159">
        <v>131.69999999999999</v>
      </c>
      <c r="X159">
        <v>129.80000000000001</v>
      </c>
      <c r="Y159">
        <v>130.4</v>
      </c>
      <c r="Z159">
        <v>128.1</v>
      </c>
      <c r="AA159">
        <v>116.6</v>
      </c>
      <c r="AB159">
        <v>125.1</v>
      </c>
      <c r="AC159">
        <v>134.5</v>
      </c>
      <c r="AD159">
        <v>123.1</v>
      </c>
      <c r="AE159">
        <v>125.1</v>
      </c>
      <c r="AF159">
        <v>131.1</v>
      </c>
    </row>
    <row r="160" spans="2:32" x14ac:dyDescent="0.3">
      <c r="B160" t="s">
        <v>30</v>
      </c>
      <c r="C160">
        <v>2017</v>
      </c>
      <c r="D160" t="s">
        <v>38</v>
      </c>
      <c r="E160" s="40" t="s">
        <v>261</v>
      </c>
      <c r="F160">
        <v>133.1</v>
      </c>
      <c r="G160">
        <v>140.30000000000001</v>
      </c>
      <c r="H160">
        <v>126.8</v>
      </c>
      <c r="I160">
        <v>138.19999999999999</v>
      </c>
      <c r="J160">
        <v>120.8</v>
      </c>
      <c r="K160">
        <v>140.19999999999999</v>
      </c>
      <c r="L160">
        <v>123.8</v>
      </c>
      <c r="M160">
        <v>141.80000000000001</v>
      </c>
      <c r="N160">
        <v>118.6</v>
      </c>
      <c r="O160">
        <v>134</v>
      </c>
      <c r="P160">
        <v>130.30000000000001</v>
      </c>
      <c r="Q160">
        <v>145.80000000000001</v>
      </c>
      <c r="R160">
        <v>133.80000000000001</v>
      </c>
      <c r="S160">
        <v>145.5</v>
      </c>
      <c r="T160">
        <v>142.5</v>
      </c>
      <c r="U160">
        <v>137.30000000000001</v>
      </c>
      <c r="V160">
        <v>141.80000000000001</v>
      </c>
      <c r="W160">
        <v>132.1</v>
      </c>
      <c r="X160">
        <v>135</v>
      </c>
      <c r="Y160">
        <v>134.9</v>
      </c>
      <c r="Z160">
        <v>131.4</v>
      </c>
      <c r="AA160">
        <v>119.4</v>
      </c>
      <c r="AB160">
        <v>129.4</v>
      </c>
      <c r="AC160">
        <v>136.30000000000001</v>
      </c>
      <c r="AD160">
        <v>123.7</v>
      </c>
      <c r="AE160">
        <v>127.9</v>
      </c>
      <c r="AF160">
        <v>133.30000000000001</v>
      </c>
    </row>
    <row r="161" spans="2:32" x14ac:dyDescent="0.3">
      <c r="B161" t="s">
        <v>33</v>
      </c>
      <c r="C161">
        <v>2017</v>
      </c>
      <c r="D161" t="s">
        <v>38</v>
      </c>
      <c r="E161" s="40" t="s">
        <v>261</v>
      </c>
      <c r="F161">
        <v>132.6</v>
      </c>
      <c r="G161">
        <v>144.1</v>
      </c>
      <c r="H161">
        <v>125.6</v>
      </c>
      <c r="I161">
        <v>136.80000000000001</v>
      </c>
      <c r="J161">
        <v>113.4</v>
      </c>
      <c r="K161">
        <v>135.19999999999999</v>
      </c>
      <c r="L161">
        <v>129.19999999999999</v>
      </c>
      <c r="M161">
        <v>131.5</v>
      </c>
      <c r="N161">
        <v>121</v>
      </c>
      <c r="O161">
        <v>139.9</v>
      </c>
      <c r="P161">
        <v>123.8</v>
      </c>
      <c r="Q161">
        <v>142.9</v>
      </c>
      <c r="R161">
        <v>133.6</v>
      </c>
      <c r="S161">
        <v>148.30000000000001</v>
      </c>
      <c r="T161">
        <v>131.5</v>
      </c>
      <c r="U161">
        <v>123.2</v>
      </c>
      <c r="V161">
        <v>130.19999999999999</v>
      </c>
      <c r="W161">
        <v>132.1</v>
      </c>
      <c r="X161">
        <v>120.1</v>
      </c>
      <c r="Y161">
        <v>126.5</v>
      </c>
      <c r="Z161">
        <v>123.6</v>
      </c>
      <c r="AA161">
        <v>114.3</v>
      </c>
      <c r="AB161">
        <v>122.8</v>
      </c>
      <c r="AC161">
        <v>133.80000000000001</v>
      </c>
      <c r="AD161">
        <v>122</v>
      </c>
      <c r="AE161">
        <v>122.6</v>
      </c>
      <c r="AF161">
        <v>129.30000000000001</v>
      </c>
    </row>
    <row r="162" spans="2:32" x14ac:dyDescent="0.3">
      <c r="B162" t="s">
        <v>34</v>
      </c>
      <c r="C162">
        <v>2017</v>
      </c>
      <c r="D162" t="s">
        <v>38</v>
      </c>
      <c r="E162" s="40" t="s">
        <v>261</v>
      </c>
      <c r="F162">
        <v>132.9</v>
      </c>
      <c r="G162">
        <v>141.6</v>
      </c>
      <c r="H162">
        <v>126.3</v>
      </c>
      <c r="I162">
        <v>137.69999999999999</v>
      </c>
      <c r="J162">
        <v>118.1</v>
      </c>
      <c r="K162">
        <v>137.9</v>
      </c>
      <c r="L162">
        <v>125.6</v>
      </c>
      <c r="M162">
        <v>138.30000000000001</v>
      </c>
      <c r="N162">
        <v>119.4</v>
      </c>
      <c r="O162">
        <v>136</v>
      </c>
      <c r="P162">
        <v>127.6</v>
      </c>
      <c r="Q162">
        <v>144.5</v>
      </c>
      <c r="R162">
        <v>133.69999999999999</v>
      </c>
      <c r="S162">
        <v>146.19999999999999</v>
      </c>
      <c r="T162">
        <v>138.19999999999999</v>
      </c>
      <c r="U162">
        <v>131.4</v>
      </c>
      <c r="V162">
        <v>137.19999999999999</v>
      </c>
      <c r="W162">
        <v>132.1</v>
      </c>
      <c r="X162">
        <v>129.4</v>
      </c>
      <c r="Y162">
        <v>130.9</v>
      </c>
      <c r="Z162">
        <v>128.4</v>
      </c>
      <c r="AA162">
        <v>116.7</v>
      </c>
      <c r="AB162">
        <v>125.7</v>
      </c>
      <c r="AC162">
        <v>134.80000000000001</v>
      </c>
      <c r="AD162">
        <v>123</v>
      </c>
      <c r="AE162">
        <v>125.3</v>
      </c>
      <c r="AF162">
        <v>131.4</v>
      </c>
    </row>
    <row r="163" spans="2:32" x14ac:dyDescent="0.3">
      <c r="B163" t="s">
        <v>30</v>
      </c>
      <c r="C163">
        <v>2017</v>
      </c>
      <c r="D163" t="s">
        <v>39</v>
      </c>
      <c r="E163" s="40" t="s">
        <v>262</v>
      </c>
      <c r="F163">
        <v>133.5</v>
      </c>
      <c r="G163">
        <v>143.69999999999999</v>
      </c>
      <c r="H163">
        <v>128</v>
      </c>
      <c r="I163">
        <v>138.6</v>
      </c>
      <c r="J163">
        <v>120.9</v>
      </c>
      <c r="K163">
        <v>140.9</v>
      </c>
      <c r="L163">
        <v>128.80000000000001</v>
      </c>
      <c r="M163">
        <v>140.19999999999999</v>
      </c>
      <c r="N163">
        <v>118.9</v>
      </c>
      <c r="O163">
        <v>133.5</v>
      </c>
      <c r="P163">
        <v>130.4</v>
      </c>
      <c r="Q163">
        <v>146.5</v>
      </c>
      <c r="R163">
        <v>134.9</v>
      </c>
      <c r="S163">
        <v>145.80000000000001</v>
      </c>
      <c r="T163">
        <v>143.1</v>
      </c>
      <c r="U163">
        <v>137.69999999999999</v>
      </c>
      <c r="V163">
        <v>142.30000000000001</v>
      </c>
      <c r="W163">
        <v>131.4</v>
      </c>
      <c r="X163">
        <v>134.80000000000001</v>
      </c>
      <c r="Y163">
        <v>135.19999999999999</v>
      </c>
      <c r="Z163">
        <v>131.30000000000001</v>
      </c>
      <c r="AA163">
        <v>119.4</v>
      </c>
      <c r="AB163">
        <v>129.80000000000001</v>
      </c>
      <c r="AC163">
        <v>136.9</v>
      </c>
      <c r="AD163">
        <v>124.1</v>
      </c>
      <c r="AE163">
        <v>128.1</v>
      </c>
      <c r="AF163">
        <v>133.9</v>
      </c>
    </row>
    <row r="164" spans="2:32" x14ac:dyDescent="0.3">
      <c r="B164" t="s">
        <v>33</v>
      </c>
      <c r="C164">
        <v>2017</v>
      </c>
      <c r="D164" t="s">
        <v>39</v>
      </c>
      <c r="E164" s="40" t="s">
        <v>262</v>
      </c>
      <c r="F164">
        <v>132.9</v>
      </c>
      <c r="G164">
        <v>148.69999999999999</v>
      </c>
      <c r="H164">
        <v>128.30000000000001</v>
      </c>
      <c r="I164">
        <v>137.30000000000001</v>
      </c>
      <c r="J164">
        <v>113.5</v>
      </c>
      <c r="K164">
        <v>137.19999999999999</v>
      </c>
      <c r="L164">
        <v>142.19999999999999</v>
      </c>
      <c r="M164">
        <v>128.19999999999999</v>
      </c>
      <c r="N164">
        <v>120.9</v>
      </c>
      <c r="O164">
        <v>138.80000000000001</v>
      </c>
      <c r="P164">
        <v>124.2</v>
      </c>
      <c r="Q164">
        <v>143.1</v>
      </c>
      <c r="R164">
        <v>135.69999999999999</v>
      </c>
      <c r="S164">
        <v>148.6</v>
      </c>
      <c r="T164">
        <v>131.5</v>
      </c>
      <c r="U164">
        <v>123.2</v>
      </c>
      <c r="V164">
        <v>130.19999999999999</v>
      </c>
      <c r="W164">
        <v>131.4</v>
      </c>
      <c r="X164">
        <v>119</v>
      </c>
      <c r="Y164">
        <v>126.8</v>
      </c>
      <c r="Z164">
        <v>123.8</v>
      </c>
      <c r="AA164">
        <v>113.9</v>
      </c>
      <c r="AB164">
        <v>122.9</v>
      </c>
      <c r="AC164">
        <v>134.30000000000001</v>
      </c>
      <c r="AD164">
        <v>122.5</v>
      </c>
      <c r="AE164">
        <v>122.7</v>
      </c>
      <c r="AF164">
        <v>129.9</v>
      </c>
    </row>
    <row r="165" spans="2:32" x14ac:dyDescent="0.3">
      <c r="B165" t="s">
        <v>34</v>
      </c>
      <c r="C165">
        <v>2017</v>
      </c>
      <c r="D165" t="s">
        <v>39</v>
      </c>
      <c r="E165" s="40" t="s">
        <v>262</v>
      </c>
      <c r="F165">
        <v>133.30000000000001</v>
      </c>
      <c r="G165">
        <v>145.5</v>
      </c>
      <c r="H165">
        <v>128.1</v>
      </c>
      <c r="I165">
        <v>138.1</v>
      </c>
      <c r="J165">
        <v>118.2</v>
      </c>
      <c r="K165">
        <v>139.19999999999999</v>
      </c>
      <c r="L165">
        <v>133.30000000000001</v>
      </c>
      <c r="M165">
        <v>136.19999999999999</v>
      </c>
      <c r="N165">
        <v>119.6</v>
      </c>
      <c r="O165">
        <v>135.30000000000001</v>
      </c>
      <c r="P165">
        <v>127.8</v>
      </c>
      <c r="Q165">
        <v>144.9</v>
      </c>
      <c r="R165">
        <v>135.19999999999999</v>
      </c>
      <c r="S165">
        <v>146.5</v>
      </c>
      <c r="T165">
        <v>138.5</v>
      </c>
      <c r="U165">
        <v>131.69999999999999</v>
      </c>
      <c r="V165">
        <v>137.5</v>
      </c>
      <c r="W165">
        <v>131.4</v>
      </c>
      <c r="X165">
        <v>128.80000000000001</v>
      </c>
      <c r="Y165">
        <v>131.19999999999999</v>
      </c>
      <c r="Z165">
        <v>128.5</v>
      </c>
      <c r="AA165">
        <v>116.5</v>
      </c>
      <c r="AB165">
        <v>125.9</v>
      </c>
      <c r="AC165">
        <v>135.4</v>
      </c>
      <c r="AD165">
        <v>123.4</v>
      </c>
      <c r="AE165">
        <v>125.5</v>
      </c>
      <c r="AF165">
        <v>132</v>
      </c>
    </row>
    <row r="166" spans="2:32" x14ac:dyDescent="0.3">
      <c r="B166" t="s">
        <v>30</v>
      </c>
      <c r="C166">
        <v>2017</v>
      </c>
      <c r="D166" t="s">
        <v>40</v>
      </c>
      <c r="E166" s="40" t="s">
        <v>263</v>
      </c>
      <c r="F166">
        <v>134</v>
      </c>
      <c r="G166">
        <v>144.19999999999999</v>
      </c>
      <c r="H166">
        <v>129.80000000000001</v>
      </c>
      <c r="I166">
        <v>139</v>
      </c>
      <c r="J166">
        <v>120.9</v>
      </c>
      <c r="K166">
        <v>143.9</v>
      </c>
      <c r="L166">
        <v>151.5</v>
      </c>
      <c r="M166">
        <v>138.1</v>
      </c>
      <c r="N166">
        <v>120</v>
      </c>
      <c r="O166">
        <v>133.9</v>
      </c>
      <c r="P166">
        <v>131.4</v>
      </c>
      <c r="Q166">
        <v>147.69999999999999</v>
      </c>
      <c r="R166">
        <v>138.5</v>
      </c>
      <c r="S166">
        <v>147.4</v>
      </c>
      <c r="T166">
        <v>144.30000000000001</v>
      </c>
      <c r="U166">
        <v>138.1</v>
      </c>
      <c r="V166">
        <v>143.5</v>
      </c>
      <c r="W166">
        <v>132.6</v>
      </c>
      <c r="X166">
        <v>135.30000000000001</v>
      </c>
      <c r="Y166">
        <v>136.1</v>
      </c>
      <c r="Z166">
        <v>132.1</v>
      </c>
      <c r="AA166">
        <v>119.1</v>
      </c>
      <c r="AB166">
        <v>130.6</v>
      </c>
      <c r="AC166">
        <v>138.6</v>
      </c>
      <c r="AD166">
        <v>124.4</v>
      </c>
      <c r="AE166">
        <v>128.6</v>
      </c>
      <c r="AF166">
        <v>136.19999999999999</v>
      </c>
    </row>
    <row r="167" spans="2:32" x14ac:dyDescent="0.3">
      <c r="B167" t="s">
        <v>33</v>
      </c>
      <c r="C167">
        <v>2017</v>
      </c>
      <c r="D167" t="s">
        <v>40</v>
      </c>
      <c r="E167" s="40" t="s">
        <v>263</v>
      </c>
      <c r="F167">
        <v>132.80000000000001</v>
      </c>
      <c r="G167">
        <v>148.4</v>
      </c>
      <c r="H167">
        <v>129.4</v>
      </c>
      <c r="I167">
        <v>137.69999999999999</v>
      </c>
      <c r="J167">
        <v>113.4</v>
      </c>
      <c r="K167">
        <v>139.4</v>
      </c>
      <c r="L167">
        <v>175.1</v>
      </c>
      <c r="M167">
        <v>124.7</v>
      </c>
      <c r="N167">
        <v>121.5</v>
      </c>
      <c r="O167">
        <v>137.80000000000001</v>
      </c>
      <c r="P167">
        <v>124.4</v>
      </c>
      <c r="Q167">
        <v>143.69999999999999</v>
      </c>
      <c r="R167">
        <v>139.80000000000001</v>
      </c>
      <c r="S167">
        <v>150.5</v>
      </c>
      <c r="T167">
        <v>131.6</v>
      </c>
      <c r="U167">
        <v>123.7</v>
      </c>
      <c r="V167">
        <v>130.4</v>
      </c>
      <c r="W167">
        <v>132.6</v>
      </c>
      <c r="X167">
        <v>119.7</v>
      </c>
      <c r="Y167">
        <v>127.2</v>
      </c>
      <c r="Z167">
        <v>125</v>
      </c>
      <c r="AA167">
        <v>113.2</v>
      </c>
      <c r="AB167">
        <v>123.5</v>
      </c>
      <c r="AC167">
        <v>135.5</v>
      </c>
      <c r="AD167">
        <v>122.4</v>
      </c>
      <c r="AE167">
        <v>123</v>
      </c>
      <c r="AF167">
        <v>131.80000000000001</v>
      </c>
    </row>
    <row r="168" spans="2:32" x14ac:dyDescent="0.3">
      <c r="B168" t="s">
        <v>34</v>
      </c>
      <c r="C168">
        <v>2017</v>
      </c>
      <c r="D168" t="s">
        <v>40</v>
      </c>
      <c r="E168" s="40" t="s">
        <v>263</v>
      </c>
      <c r="F168">
        <v>133.6</v>
      </c>
      <c r="G168">
        <v>145.69999999999999</v>
      </c>
      <c r="H168">
        <v>129.6</v>
      </c>
      <c r="I168">
        <v>138.5</v>
      </c>
      <c r="J168">
        <v>118.1</v>
      </c>
      <c r="K168">
        <v>141.80000000000001</v>
      </c>
      <c r="L168">
        <v>159.5</v>
      </c>
      <c r="M168">
        <v>133.6</v>
      </c>
      <c r="N168">
        <v>120.5</v>
      </c>
      <c r="O168">
        <v>135.19999999999999</v>
      </c>
      <c r="P168">
        <v>128.5</v>
      </c>
      <c r="Q168">
        <v>145.80000000000001</v>
      </c>
      <c r="R168">
        <v>139</v>
      </c>
      <c r="S168">
        <v>148.19999999999999</v>
      </c>
      <c r="T168">
        <v>139.30000000000001</v>
      </c>
      <c r="U168">
        <v>132.1</v>
      </c>
      <c r="V168">
        <v>138.30000000000001</v>
      </c>
      <c r="W168">
        <v>132.6</v>
      </c>
      <c r="X168">
        <v>129.4</v>
      </c>
      <c r="Y168">
        <v>131.9</v>
      </c>
      <c r="Z168">
        <v>129.4</v>
      </c>
      <c r="AA168">
        <v>116</v>
      </c>
      <c r="AB168">
        <v>126.6</v>
      </c>
      <c r="AC168">
        <v>136.80000000000001</v>
      </c>
      <c r="AD168">
        <v>123.6</v>
      </c>
      <c r="AE168">
        <v>125.9</v>
      </c>
      <c r="AF168">
        <v>134.19999999999999</v>
      </c>
    </row>
    <row r="169" spans="2:32" x14ac:dyDescent="0.3">
      <c r="B169" t="s">
        <v>30</v>
      </c>
      <c r="C169">
        <v>2017</v>
      </c>
      <c r="D169" t="s">
        <v>41</v>
      </c>
      <c r="E169" s="40" t="s">
        <v>264</v>
      </c>
      <c r="F169">
        <v>134.80000000000001</v>
      </c>
      <c r="G169">
        <v>143.1</v>
      </c>
      <c r="H169">
        <v>130</v>
      </c>
      <c r="I169">
        <v>139.4</v>
      </c>
      <c r="J169">
        <v>120.5</v>
      </c>
      <c r="K169">
        <v>148</v>
      </c>
      <c r="L169">
        <v>162.9</v>
      </c>
      <c r="M169">
        <v>137.4</v>
      </c>
      <c r="N169">
        <v>120.8</v>
      </c>
      <c r="O169">
        <v>134.69999999999999</v>
      </c>
      <c r="P169">
        <v>131.6</v>
      </c>
      <c r="Q169">
        <v>148.69999999999999</v>
      </c>
      <c r="R169">
        <v>140.6</v>
      </c>
      <c r="S169">
        <v>149</v>
      </c>
      <c r="T169">
        <v>145.30000000000001</v>
      </c>
      <c r="U169">
        <v>139.19999999999999</v>
      </c>
      <c r="V169">
        <v>144.5</v>
      </c>
      <c r="W169">
        <v>134.4</v>
      </c>
      <c r="X169">
        <v>136.4</v>
      </c>
      <c r="Y169">
        <v>137.30000000000001</v>
      </c>
      <c r="Z169">
        <v>133</v>
      </c>
      <c r="AA169">
        <v>120.3</v>
      </c>
      <c r="AB169">
        <v>131.5</v>
      </c>
      <c r="AC169">
        <v>140.19999999999999</v>
      </c>
      <c r="AD169">
        <v>125.4</v>
      </c>
      <c r="AE169">
        <v>129.69999999999999</v>
      </c>
      <c r="AF169">
        <v>137.80000000000001</v>
      </c>
    </row>
    <row r="170" spans="2:32" x14ac:dyDescent="0.3">
      <c r="B170" t="s">
        <v>33</v>
      </c>
      <c r="C170">
        <v>2017</v>
      </c>
      <c r="D170" t="s">
        <v>41</v>
      </c>
      <c r="E170" s="40" t="s">
        <v>264</v>
      </c>
      <c r="F170">
        <v>133.19999999999999</v>
      </c>
      <c r="G170">
        <v>143.9</v>
      </c>
      <c r="H170">
        <v>128.30000000000001</v>
      </c>
      <c r="I170">
        <v>138.30000000000001</v>
      </c>
      <c r="J170">
        <v>114.1</v>
      </c>
      <c r="K170">
        <v>142.69999999999999</v>
      </c>
      <c r="L170">
        <v>179.8</v>
      </c>
      <c r="M170">
        <v>123.5</v>
      </c>
      <c r="N170">
        <v>122.1</v>
      </c>
      <c r="O170">
        <v>137.5</v>
      </c>
      <c r="P170">
        <v>124.6</v>
      </c>
      <c r="Q170">
        <v>144.5</v>
      </c>
      <c r="R170">
        <v>140.5</v>
      </c>
      <c r="S170">
        <v>152.1</v>
      </c>
      <c r="T170">
        <v>132.69999999999999</v>
      </c>
      <c r="U170">
        <v>124.3</v>
      </c>
      <c r="V170">
        <v>131.4</v>
      </c>
      <c r="W170">
        <v>134.4</v>
      </c>
      <c r="X170">
        <v>118.9</v>
      </c>
      <c r="Y170">
        <v>127.7</v>
      </c>
      <c r="Z170">
        <v>125.7</v>
      </c>
      <c r="AA170">
        <v>114.6</v>
      </c>
      <c r="AB170">
        <v>124.1</v>
      </c>
      <c r="AC170">
        <v>135.69999999999999</v>
      </c>
      <c r="AD170">
        <v>123.3</v>
      </c>
      <c r="AE170">
        <v>123.8</v>
      </c>
      <c r="AF170">
        <v>132.69999999999999</v>
      </c>
    </row>
    <row r="171" spans="2:32" x14ac:dyDescent="0.3">
      <c r="B171" t="s">
        <v>34</v>
      </c>
      <c r="C171">
        <v>2017</v>
      </c>
      <c r="D171" t="s">
        <v>41</v>
      </c>
      <c r="E171" s="40" t="s">
        <v>264</v>
      </c>
      <c r="F171">
        <v>134.30000000000001</v>
      </c>
      <c r="G171">
        <v>143.4</v>
      </c>
      <c r="H171">
        <v>129.30000000000001</v>
      </c>
      <c r="I171">
        <v>139</v>
      </c>
      <c r="J171">
        <v>118.1</v>
      </c>
      <c r="K171">
        <v>145.5</v>
      </c>
      <c r="L171">
        <v>168.6</v>
      </c>
      <c r="M171">
        <v>132.69999999999999</v>
      </c>
      <c r="N171">
        <v>121.2</v>
      </c>
      <c r="O171">
        <v>135.6</v>
      </c>
      <c r="P171">
        <v>128.69999999999999</v>
      </c>
      <c r="Q171">
        <v>146.80000000000001</v>
      </c>
      <c r="R171">
        <v>140.6</v>
      </c>
      <c r="S171">
        <v>149.80000000000001</v>
      </c>
      <c r="T171">
        <v>140.30000000000001</v>
      </c>
      <c r="U171">
        <v>133</v>
      </c>
      <c r="V171">
        <v>139.30000000000001</v>
      </c>
      <c r="W171">
        <v>134.4</v>
      </c>
      <c r="X171">
        <v>129.80000000000001</v>
      </c>
      <c r="Y171">
        <v>132.80000000000001</v>
      </c>
      <c r="Z171">
        <v>130.19999999999999</v>
      </c>
      <c r="AA171">
        <v>117.3</v>
      </c>
      <c r="AB171">
        <v>127.3</v>
      </c>
      <c r="AC171">
        <v>137.6</v>
      </c>
      <c r="AD171">
        <v>124.5</v>
      </c>
      <c r="AE171">
        <v>126.8</v>
      </c>
      <c r="AF171">
        <v>135.4</v>
      </c>
    </row>
    <row r="172" spans="2:32" x14ac:dyDescent="0.3">
      <c r="B172" t="s">
        <v>30</v>
      </c>
      <c r="C172">
        <v>2017</v>
      </c>
      <c r="D172" t="s">
        <v>42</v>
      </c>
      <c r="E172" s="40" t="s">
        <v>265</v>
      </c>
      <c r="F172">
        <v>135.19999999999999</v>
      </c>
      <c r="G172">
        <v>142</v>
      </c>
      <c r="H172">
        <v>130.5</v>
      </c>
      <c r="I172">
        <v>140.19999999999999</v>
      </c>
      <c r="J172">
        <v>120.7</v>
      </c>
      <c r="K172">
        <v>147.80000000000001</v>
      </c>
      <c r="L172">
        <v>154.5</v>
      </c>
      <c r="M172">
        <v>137.1</v>
      </c>
      <c r="N172">
        <v>121</v>
      </c>
      <c r="O172">
        <v>134.69999999999999</v>
      </c>
      <c r="P172">
        <v>131.69999999999999</v>
      </c>
      <c r="Q172">
        <v>149.30000000000001</v>
      </c>
      <c r="R172">
        <v>139.6</v>
      </c>
      <c r="S172">
        <v>149.80000000000001</v>
      </c>
      <c r="T172">
        <v>146.1</v>
      </c>
      <c r="U172">
        <v>139.69999999999999</v>
      </c>
      <c r="V172">
        <v>145.19999999999999</v>
      </c>
      <c r="W172">
        <v>135.69999999999999</v>
      </c>
      <c r="X172">
        <v>137.4</v>
      </c>
      <c r="Y172">
        <v>137.9</v>
      </c>
      <c r="Z172">
        <v>133.4</v>
      </c>
      <c r="AA172">
        <v>121.2</v>
      </c>
      <c r="AB172">
        <v>132.30000000000001</v>
      </c>
      <c r="AC172">
        <v>139.6</v>
      </c>
      <c r="AD172">
        <v>126.7</v>
      </c>
      <c r="AE172">
        <v>130.30000000000001</v>
      </c>
      <c r="AF172">
        <v>137.6</v>
      </c>
    </row>
    <row r="173" spans="2:32" x14ac:dyDescent="0.3">
      <c r="B173" t="s">
        <v>33</v>
      </c>
      <c r="C173">
        <v>2017</v>
      </c>
      <c r="D173" t="s">
        <v>42</v>
      </c>
      <c r="E173" s="40" t="s">
        <v>265</v>
      </c>
      <c r="F173">
        <v>133.6</v>
      </c>
      <c r="G173">
        <v>143</v>
      </c>
      <c r="H173">
        <v>129.69999999999999</v>
      </c>
      <c r="I173">
        <v>138.69999999999999</v>
      </c>
      <c r="J173">
        <v>114.5</v>
      </c>
      <c r="K173">
        <v>137.5</v>
      </c>
      <c r="L173">
        <v>160.69999999999999</v>
      </c>
      <c r="M173">
        <v>124.5</v>
      </c>
      <c r="N173">
        <v>122.4</v>
      </c>
      <c r="O173">
        <v>137.30000000000001</v>
      </c>
      <c r="P173">
        <v>124.8</v>
      </c>
      <c r="Q173">
        <v>145</v>
      </c>
      <c r="R173">
        <v>138</v>
      </c>
      <c r="S173">
        <v>153.6</v>
      </c>
      <c r="T173">
        <v>133.30000000000001</v>
      </c>
      <c r="U173">
        <v>124.6</v>
      </c>
      <c r="V173">
        <v>132</v>
      </c>
      <c r="W173">
        <v>135.69999999999999</v>
      </c>
      <c r="X173">
        <v>120.6</v>
      </c>
      <c r="Y173">
        <v>128.1</v>
      </c>
      <c r="Z173">
        <v>126.1</v>
      </c>
      <c r="AA173">
        <v>115.7</v>
      </c>
      <c r="AB173">
        <v>124.5</v>
      </c>
      <c r="AC173">
        <v>135.9</v>
      </c>
      <c r="AD173">
        <v>124.4</v>
      </c>
      <c r="AE173">
        <v>124.5</v>
      </c>
      <c r="AF173">
        <v>132.4</v>
      </c>
    </row>
    <row r="174" spans="2:32" x14ac:dyDescent="0.3">
      <c r="B174" t="s">
        <v>34</v>
      </c>
      <c r="C174">
        <v>2017</v>
      </c>
      <c r="D174" t="s">
        <v>42</v>
      </c>
      <c r="E174" s="40" t="s">
        <v>265</v>
      </c>
      <c r="F174">
        <v>134.69999999999999</v>
      </c>
      <c r="G174">
        <v>142.4</v>
      </c>
      <c r="H174">
        <v>130.19999999999999</v>
      </c>
      <c r="I174">
        <v>139.6</v>
      </c>
      <c r="J174">
        <v>118.4</v>
      </c>
      <c r="K174">
        <v>143</v>
      </c>
      <c r="L174">
        <v>156.6</v>
      </c>
      <c r="M174">
        <v>132.9</v>
      </c>
      <c r="N174">
        <v>121.5</v>
      </c>
      <c r="O174">
        <v>135.6</v>
      </c>
      <c r="P174">
        <v>128.80000000000001</v>
      </c>
      <c r="Q174">
        <v>147.30000000000001</v>
      </c>
      <c r="R174">
        <v>139</v>
      </c>
      <c r="S174">
        <v>150.80000000000001</v>
      </c>
      <c r="T174">
        <v>141.1</v>
      </c>
      <c r="U174">
        <v>133.4</v>
      </c>
      <c r="V174">
        <v>140</v>
      </c>
      <c r="W174">
        <v>135.69999999999999</v>
      </c>
      <c r="X174">
        <v>131</v>
      </c>
      <c r="Y174">
        <v>133.30000000000001</v>
      </c>
      <c r="Z174">
        <v>130.6</v>
      </c>
      <c r="AA174">
        <v>118.3</v>
      </c>
      <c r="AB174">
        <v>127.9</v>
      </c>
      <c r="AC174">
        <v>137.4</v>
      </c>
      <c r="AD174">
        <v>125.7</v>
      </c>
      <c r="AE174">
        <v>127.5</v>
      </c>
      <c r="AF174">
        <v>135.19999999999999</v>
      </c>
    </row>
    <row r="175" spans="2:32" x14ac:dyDescent="0.3">
      <c r="B175" t="s">
        <v>30</v>
      </c>
      <c r="C175">
        <v>2017</v>
      </c>
      <c r="D175" t="s">
        <v>43</v>
      </c>
      <c r="E175" s="40" t="s">
        <v>266</v>
      </c>
      <c r="F175">
        <v>135.9</v>
      </c>
      <c r="G175">
        <v>141.9</v>
      </c>
      <c r="H175">
        <v>131</v>
      </c>
      <c r="I175">
        <v>141.5</v>
      </c>
      <c r="J175">
        <v>121.4</v>
      </c>
      <c r="K175">
        <v>146.69999999999999</v>
      </c>
      <c r="L175">
        <v>157.1</v>
      </c>
      <c r="M175">
        <v>136.4</v>
      </c>
      <c r="N175">
        <v>121.4</v>
      </c>
      <c r="O175">
        <v>135.6</v>
      </c>
      <c r="P175">
        <v>131.30000000000001</v>
      </c>
      <c r="Q175">
        <v>150.30000000000001</v>
      </c>
      <c r="R175">
        <v>140.4</v>
      </c>
      <c r="S175">
        <v>150.5</v>
      </c>
      <c r="T175">
        <v>147.19999999999999</v>
      </c>
      <c r="U175">
        <v>140.6</v>
      </c>
      <c r="V175">
        <v>146.19999999999999</v>
      </c>
      <c r="W175">
        <v>137.30000000000001</v>
      </c>
      <c r="X175">
        <v>138.1</v>
      </c>
      <c r="Y175">
        <v>138.4</v>
      </c>
      <c r="Z175">
        <v>134.19999999999999</v>
      </c>
      <c r="AA175">
        <v>121</v>
      </c>
      <c r="AB175">
        <v>133</v>
      </c>
      <c r="AC175">
        <v>140.1</v>
      </c>
      <c r="AD175">
        <v>127.4</v>
      </c>
      <c r="AE175">
        <v>130.69999999999999</v>
      </c>
      <c r="AF175">
        <v>138.30000000000001</v>
      </c>
    </row>
    <row r="176" spans="2:32" x14ac:dyDescent="0.3">
      <c r="B176" t="s">
        <v>33</v>
      </c>
      <c r="C176">
        <v>2017</v>
      </c>
      <c r="D176" t="s">
        <v>43</v>
      </c>
      <c r="E176" s="40" t="s">
        <v>266</v>
      </c>
      <c r="F176">
        <v>133.9</v>
      </c>
      <c r="G176">
        <v>142.80000000000001</v>
      </c>
      <c r="H176">
        <v>131.4</v>
      </c>
      <c r="I176">
        <v>139.1</v>
      </c>
      <c r="J176">
        <v>114.9</v>
      </c>
      <c r="K176">
        <v>135.6</v>
      </c>
      <c r="L176">
        <v>173.2</v>
      </c>
      <c r="M176">
        <v>124.1</v>
      </c>
      <c r="N176">
        <v>122.6</v>
      </c>
      <c r="O176">
        <v>137.80000000000001</v>
      </c>
      <c r="P176">
        <v>125.1</v>
      </c>
      <c r="Q176">
        <v>145.5</v>
      </c>
      <c r="R176">
        <v>139.69999999999999</v>
      </c>
      <c r="S176">
        <v>154.6</v>
      </c>
      <c r="T176">
        <v>134</v>
      </c>
      <c r="U176">
        <v>124.9</v>
      </c>
      <c r="V176">
        <v>132.6</v>
      </c>
      <c r="W176">
        <v>137.30000000000001</v>
      </c>
      <c r="X176">
        <v>122.6</v>
      </c>
      <c r="Y176">
        <v>128.30000000000001</v>
      </c>
      <c r="Z176">
        <v>126.6</v>
      </c>
      <c r="AA176">
        <v>115</v>
      </c>
      <c r="AB176">
        <v>124.8</v>
      </c>
      <c r="AC176">
        <v>136.30000000000001</v>
      </c>
      <c r="AD176">
        <v>124.6</v>
      </c>
      <c r="AE176">
        <v>124.5</v>
      </c>
      <c r="AF176">
        <v>133.5</v>
      </c>
    </row>
    <row r="177" spans="2:32" x14ac:dyDescent="0.3">
      <c r="B177" t="s">
        <v>34</v>
      </c>
      <c r="C177">
        <v>2017</v>
      </c>
      <c r="D177" t="s">
        <v>43</v>
      </c>
      <c r="E177" s="40" t="s">
        <v>266</v>
      </c>
      <c r="F177">
        <v>135.30000000000001</v>
      </c>
      <c r="G177">
        <v>142.19999999999999</v>
      </c>
      <c r="H177">
        <v>131.19999999999999</v>
      </c>
      <c r="I177">
        <v>140.6</v>
      </c>
      <c r="J177">
        <v>119</v>
      </c>
      <c r="K177">
        <v>141.5</v>
      </c>
      <c r="L177">
        <v>162.6</v>
      </c>
      <c r="M177">
        <v>132.30000000000001</v>
      </c>
      <c r="N177">
        <v>121.8</v>
      </c>
      <c r="O177">
        <v>136.30000000000001</v>
      </c>
      <c r="P177">
        <v>128.69999999999999</v>
      </c>
      <c r="Q177">
        <v>148.1</v>
      </c>
      <c r="R177">
        <v>140.1</v>
      </c>
      <c r="S177">
        <v>151.6</v>
      </c>
      <c r="T177">
        <v>142</v>
      </c>
      <c r="U177">
        <v>134.1</v>
      </c>
      <c r="V177">
        <v>140.80000000000001</v>
      </c>
      <c r="W177">
        <v>137.30000000000001</v>
      </c>
      <c r="X177">
        <v>132.19999999999999</v>
      </c>
      <c r="Y177">
        <v>133.6</v>
      </c>
      <c r="Z177">
        <v>131.30000000000001</v>
      </c>
      <c r="AA177">
        <v>117.8</v>
      </c>
      <c r="AB177">
        <v>128.4</v>
      </c>
      <c r="AC177">
        <v>137.9</v>
      </c>
      <c r="AD177">
        <v>126.2</v>
      </c>
      <c r="AE177">
        <v>127.7</v>
      </c>
      <c r="AF177">
        <v>136.1</v>
      </c>
    </row>
    <row r="178" spans="2:32" x14ac:dyDescent="0.3">
      <c r="B178" t="s">
        <v>30</v>
      </c>
      <c r="C178">
        <v>2017</v>
      </c>
      <c r="D178" t="s">
        <v>45</v>
      </c>
      <c r="E178" s="40" t="s">
        <v>267</v>
      </c>
      <c r="F178">
        <v>136.30000000000001</v>
      </c>
      <c r="G178">
        <v>142.5</v>
      </c>
      <c r="H178">
        <v>140.5</v>
      </c>
      <c r="I178">
        <v>141.5</v>
      </c>
      <c r="J178">
        <v>121.6</v>
      </c>
      <c r="K178">
        <v>147.30000000000001</v>
      </c>
      <c r="L178">
        <v>168</v>
      </c>
      <c r="M178">
        <v>135.80000000000001</v>
      </c>
      <c r="N178">
        <v>122.5</v>
      </c>
      <c r="O178">
        <v>136</v>
      </c>
      <c r="P178">
        <v>131.9</v>
      </c>
      <c r="Q178">
        <v>151.4</v>
      </c>
      <c r="R178">
        <v>142.4</v>
      </c>
      <c r="S178">
        <v>152.1</v>
      </c>
      <c r="T178">
        <v>148.19999999999999</v>
      </c>
      <c r="U178">
        <v>141.5</v>
      </c>
      <c r="V178">
        <v>147.30000000000001</v>
      </c>
      <c r="W178">
        <v>138.6</v>
      </c>
      <c r="X178">
        <v>141.1</v>
      </c>
      <c r="Y178">
        <v>139.4</v>
      </c>
      <c r="Z178">
        <v>135.80000000000001</v>
      </c>
      <c r="AA178">
        <v>121.6</v>
      </c>
      <c r="AB178">
        <v>133.69999999999999</v>
      </c>
      <c r="AC178">
        <v>141.5</v>
      </c>
      <c r="AD178">
        <v>128.1</v>
      </c>
      <c r="AE178">
        <v>131.69999999999999</v>
      </c>
      <c r="AF178">
        <v>140</v>
      </c>
    </row>
    <row r="179" spans="2:32" x14ac:dyDescent="0.3">
      <c r="B179" t="s">
        <v>33</v>
      </c>
      <c r="C179">
        <v>2017</v>
      </c>
      <c r="D179" t="s">
        <v>45</v>
      </c>
      <c r="E179" s="40" t="s">
        <v>267</v>
      </c>
      <c r="F179">
        <v>134.30000000000001</v>
      </c>
      <c r="G179">
        <v>142.1</v>
      </c>
      <c r="H179">
        <v>146.69999999999999</v>
      </c>
      <c r="I179">
        <v>139.5</v>
      </c>
      <c r="J179">
        <v>115.2</v>
      </c>
      <c r="K179">
        <v>136.4</v>
      </c>
      <c r="L179">
        <v>185.2</v>
      </c>
      <c r="M179">
        <v>122.2</v>
      </c>
      <c r="N179">
        <v>123.9</v>
      </c>
      <c r="O179">
        <v>138.30000000000001</v>
      </c>
      <c r="P179">
        <v>125.4</v>
      </c>
      <c r="Q179">
        <v>146</v>
      </c>
      <c r="R179">
        <v>141.5</v>
      </c>
      <c r="S179">
        <v>156.19999999999999</v>
      </c>
      <c r="T179">
        <v>135</v>
      </c>
      <c r="U179">
        <v>125.4</v>
      </c>
      <c r="V179">
        <v>133.5</v>
      </c>
      <c r="W179">
        <v>138.6</v>
      </c>
      <c r="X179">
        <v>125.7</v>
      </c>
      <c r="Y179">
        <v>128.80000000000001</v>
      </c>
      <c r="Z179">
        <v>127.4</v>
      </c>
      <c r="AA179">
        <v>115.3</v>
      </c>
      <c r="AB179">
        <v>125.1</v>
      </c>
      <c r="AC179">
        <v>136.6</v>
      </c>
      <c r="AD179">
        <v>124.9</v>
      </c>
      <c r="AE179">
        <v>124.9</v>
      </c>
      <c r="AF179">
        <v>134.80000000000001</v>
      </c>
    </row>
    <row r="180" spans="2:32" x14ac:dyDescent="0.3">
      <c r="B180" t="s">
        <v>34</v>
      </c>
      <c r="C180">
        <v>2017</v>
      </c>
      <c r="D180" t="s">
        <v>45</v>
      </c>
      <c r="E180" s="40" t="s">
        <v>267</v>
      </c>
      <c r="F180">
        <v>135.69999999999999</v>
      </c>
      <c r="G180">
        <v>142.4</v>
      </c>
      <c r="H180">
        <v>142.9</v>
      </c>
      <c r="I180">
        <v>140.80000000000001</v>
      </c>
      <c r="J180">
        <v>119.2</v>
      </c>
      <c r="K180">
        <v>142.19999999999999</v>
      </c>
      <c r="L180">
        <v>173.8</v>
      </c>
      <c r="M180">
        <v>131.19999999999999</v>
      </c>
      <c r="N180">
        <v>123</v>
      </c>
      <c r="O180">
        <v>136.80000000000001</v>
      </c>
      <c r="P180">
        <v>129.19999999999999</v>
      </c>
      <c r="Q180">
        <v>148.9</v>
      </c>
      <c r="R180">
        <v>142.1</v>
      </c>
      <c r="S180">
        <v>153.19999999999999</v>
      </c>
      <c r="T180">
        <v>143</v>
      </c>
      <c r="U180">
        <v>134.80000000000001</v>
      </c>
      <c r="V180">
        <v>141.80000000000001</v>
      </c>
      <c r="W180">
        <v>138.6</v>
      </c>
      <c r="X180">
        <v>135.30000000000001</v>
      </c>
      <c r="Y180">
        <v>134.4</v>
      </c>
      <c r="Z180">
        <v>132.6</v>
      </c>
      <c r="AA180">
        <v>118.3</v>
      </c>
      <c r="AB180">
        <v>128.9</v>
      </c>
      <c r="AC180">
        <v>138.6</v>
      </c>
      <c r="AD180">
        <v>126.8</v>
      </c>
      <c r="AE180">
        <v>128.4</v>
      </c>
      <c r="AF180">
        <v>137.6</v>
      </c>
    </row>
    <row r="181" spans="2:32" x14ac:dyDescent="0.3">
      <c r="B181" t="s">
        <v>30</v>
      </c>
      <c r="C181">
        <v>2017</v>
      </c>
      <c r="D181" t="s">
        <v>46</v>
      </c>
      <c r="E181" s="40" t="s">
        <v>268</v>
      </c>
      <c r="F181">
        <v>136.4</v>
      </c>
      <c r="G181">
        <v>143.69999999999999</v>
      </c>
      <c r="H181">
        <v>144.80000000000001</v>
      </c>
      <c r="I181">
        <v>141.9</v>
      </c>
      <c r="J181">
        <v>123.1</v>
      </c>
      <c r="K181">
        <v>147.19999999999999</v>
      </c>
      <c r="L181">
        <v>161</v>
      </c>
      <c r="M181">
        <v>133.80000000000001</v>
      </c>
      <c r="N181">
        <v>121.9</v>
      </c>
      <c r="O181">
        <v>135.80000000000001</v>
      </c>
      <c r="P181">
        <v>131.1</v>
      </c>
      <c r="Q181">
        <v>151.4</v>
      </c>
      <c r="R181">
        <v>141.5</v>
      </c>
      <c r="S181">
        <v>153.19999999999999</v>
      </c>
      <c r="T181">
        <v>148</v>
      </c>
      <c r="U181">
        <v>141.9</v>
      </c>
      <c r="V181">
        <v>147.19999999999999</v>
      </c>
      <c r="W181">
        <v>139.1</v>
      </c>
      <c r="X181">
        <v>142.6</v>
      </c>
      <c r="Y181">
        <v>139.5</v>
      </c>
      <c r="Z181">
        <v>136.1</v>
      </c>
      <c r="AA181">
        <v>122</v>
      </c>
      <c r="AB181">
        <v>133.4</v>
      </c>
      <c r="AC181">
        <v>141.1</v>
      </c>
      <c r="AD181">
        <v>127.8</v>
      </c>
      <c r="AE181">
        <v>131.9</v>
      </c>
      <c r="AF181">
        <v>139.80000000000001</v>
      </c>
    </row>
    <row r="182" spans="2:32" x14ac:dyDescent="0.3">
      <c r="B182" t="s">
        <v>33</v>
      </c>
      <c r="C182">
        <v>2017</v>
      </c>
      <c r="D182" t="s">
        <v>46</v>
      </c>
      <c r="E182" s="40" t="s">
        <v>268</v>
      </c>
      <c r="F182">
        <v>134.4</v>
      </c>
      <c r="G182">
        <v>142.6</v>
      </c>
      <c r="H182">
        <v>145.9</v>
      </c>
      <c r="I182">
        <v>139.5</v>
      </c>
      <c r="J182">
        <v>115.9</v>
      </c>
      <c r="K182">
        <v>135</v>
      </c>
      <c r="L182">
        <v>163.19999999999999</v>
      </c>
      <c r="M182">
        <v>119.8</v>
      </c>
      <c r="N182">
        <v>120.7</v>
      </c>
      <c r="O182">
        <v>139.69999999999999</v>
      </c>
      <c r="P182">
        <v>125.7</v>
      </c>
      <c r="Q182">
        <v>146.30000000000001</v>
      </c>
      <c r="R182">
        <v>138.80000000000001</v>
      </c>
      <c r="S182">
        <v>157</v>
      </c>
      <c r="T182">
        <v>135.6</v>
      </c>
      <c r="U182">
        <v>125.6</v>
      </c>
      <c r="V182">
        <v>134</v>
      </c>
      <c r="W182">
        <v>139.1</v>
      </c>
      <c r="X182">
        <v>126.8</v>
      </c>
      <c r="Y182">
        <v>129.30000000000001</v>
      </c>
      <c r="Z182">
        <v>128.19999999999999</v>
      </c>
      <c r="AA182">
        <v>115.3</v>
      </c>
      <c r="AB182">
        <v>125.6</v>
      </c>
      <c r="AC182">
        <v>136.69999999999999</v>
      </c>
      <c r="AD182">
        <v>124.6</v>
      </c>
      <c r="AE182">
        <v>125.1</v>
      </c>
      <c r="AF182">
        <v>134.1</v>
      </c>
    </row>
    <row r="183" spans="2:32" x14ac:dyDescent="0.3">
      <c r="B183" t="s">
        <v>34</v>
      </c>
      <c r="C183">
        <v>2017</v>
      </c>
      <c r="D183" t="s">
        <v>46</v>
      </c>
      <c r="E183" s="40" t="s">
        <v>268</v>
      </c>
      <c r="F183">
        <v>135.80000000000001</v>
      </c>
      <c r="G183">
        <v>143.30000000000001</v>
      </c>
      <c r="H183">
        <v>145.19999999999999</v>
      </c>
      <c r="I183">
        <v>141</v>
      </c>
      <c r="J183">
        <v>120.5</v>
      </c>
      <c r="K183">
        <v>141.5</v>
      </c>
      <c r="L183">
        <v>161.69999999999999</v>
      </c>
      <c r="M183">
        <v>129.1</v>
      </c>
      <c r="N183">
        <v>121.5</v>
      </c>
      <c r="O183">
        <v>137.1</v>
      </c>
      <c r="P183">
        <v>128.80000000000001</v>
      </c>
      <c r="Q183">
        <v>149</v>
      </c>
      <c r="R183">
        <v>140.5</v>
      </c>
      <c r="S183">
        <v>154.19999999999999</v>
      </c>
      <c r="T183">
        <v>143.1</v>
      </c>
      <c r="U183">
        <v>135.1</v>
      </c>
      <c r="V183">
        <v>142</v>
      </c>
      <c r="W183">
        <v>139.1</v>
      </c>
      <c r="X183">
        <v>136.6</v>
      </c>
      <c r="Y183">
        <v>134.69999999999999</v>
      </c>
      <c r="Z183">
        <v>133.1</v>
      </c>
      <c r="AA183">
        <v>118.5</v>
      </c>
      <c r="AB183">
        <v>129</v>
      </c>
      <c r="AC183">
        <v>138.5</v>
      </c>
      <c r="AD183">
        <v>126.5</v>
      </c>
      <c r="AE183">
        <v>128.6</v>
      </c>
      <c r="AF183">
        <v>137.19999999999999</v>
      </c>
    </row>
    <row r="184" spans="2:32" x14ac:dyDescent="0.3">
      <c r="B184" t="s">
        <v>30</v>
      </c>
      <c r="C184">
        <v>2018</v>
      </c>
      <c r="D184" t="s">
        <v>31</v>
      </c>
      <c r="E184" s="40" t="s">
        <v>269</v>
      </c>
      <c r="F184">
        <v>136.6</v>
      </c>
      <c r="G184">
        <v>144.4</v>
      </c>
      <c r="H184">
        <v>143.80000000000001</v>
      </c>
      <c r="I184">
        <v>142</v>
      </c>
      <c r="J184">
        <v>123.2</v>
      </c>
      <c r="K184">
        <v>147.9</v>
      </c>
      <c r="L184">
        <v>152.1</v>
      </c>
      <c r="M184">
        <v>131.80000000000001</v>
      </c>
      <c r="N184">
        <v>119.5</v>
      </c>
      <c r="O184">
        <v>136</v>
      </c>
      <c r="P184">
        <v>131.19999999999999</v>
      </c>
      <c r="Q184">
        <v>151.80000000000001</v>
      </c>
      <c r="R184">
        <v>140.4</v>
      </c>
      <c r="S184">
        <v>153.6</v>
      </c>
      <c r="T184">
        <v>148.30000000000001</v>
      </c>
      <c r="U184">
        <v>142.30000000000001</v>
      </c>
      <c r="V184">
        <v>147.5</v>
      </c>
      <c r="W184">
        <v>140.4</v>
      </c>
      <c r="X184">
        <v>142.30000000000001</v>
      </c>
      <c r="Y184">
        <v>139.80000000000001</v>
      </c>
      <c r="Z184">
        <v>136</v>
      </c>
      <c r="AA184">
        <v>122.7</v>
      </c>
      <c r="AB184">
        <v>134.30000000000001</v>
      </c>
      <c r="AC184">
        <v>141.6</v>
      </c>
      <c r="AD184">
        <v>128.6</v>
      </c>
      <c r="AE184">
        <v>132.30000000000001</v>
      </c>
      <c r="AF184">
        <v>139.30000000000001</v>
      </c>
    </row>
    <row r="185" spans="2:32" x14ac:dyDescent="0.3">
      <c r="B185" t="s">
        <v>33</v>
      </c>
      <c r="C185">
        <v>2018</v>
      </c>
      <c r="D185" t="s">
        <v>31</v>
      </c>
      <c r="E185" s="40" t="s">
        <v>269</v>
      </c>
      <c r="F185">
        <v>134.6</v>
      </c>
      <c r="G185">
        <v>143.69999999999999</v>
      </c>
      <c r="H185">
        <v>143.6</v>
      </c>
      <c r="I185">
        <v>139.6</v>
      </c>
      <c r="J185">
        <v>116.4</v>
      </c>
      <c r="K185">
        <v>133.80000000000001</v>
      </c>
      <c r="L185">
        <v>150.5</v>
      </c>
      <c r="M185">
        <v>118.4</v>
      </c>
      <c r="N185">
        <v>117.3</v>
      </c>
      <c r="O185">
        <v>140.5</v>
      </c>
      <c r="P185">
        <v>125.9</v>
      </c>
      <c r="Q185">
        <v>146.80000000000001</v>
      </c>
      <c r="R185">
        <v>137.19999999999999</v>
      </c>
      <c r="S185">
        <v>157.69999999999999</v>
      </c>
      <c r="T185">
        <v>136</v>
      </c>
      <c r="U185">
        <v>125.9</v>
      </c>
      <c r="V185">
        <v>134.4</v>
      </c>
      <c r="W185">
        <v>140.4</v>
      </c>
      <c r="X185">
        <v>127.3</v>
      </c>
      <c r="Y185">
        <v>129.5</v>
      </c>
      <c r="Z185">
        <v>129</v>
      </c>
      <c r="AA185">
        <v>116.3</v>
      </c>
      <c r="AB185">
        <v>126.2</v>
      </c>
      <c r="AC185">
        <v>137.1</v>
      </c>
      <c r="AD185">
        <v>125.5</v>
      </c>
      <c r="AE185">
        <v>125.8</v>
      </c>
      <c r="AF185">
        <v>134.1</v>
      </c>
    </row>
    <row r="186" spans="2:32" x14ac:dyDescent="0.3">
      <c r="B186" t="s">
        <v>34</v>
      </c>
      <c r="C186">
        <v>2018</v>
      </c>
      <c r="D186" t="s">
        <v>31</v>
      </c>
      <c r="E186" s="40" t="s">
        <v>269</v>
      </c>
      <c r="F186">
        <v>136</v>
      </c>
      <c r="G186">
        <v>144.19999999999999</v>
      </c>
      <c r="H186">
        <v>143.69999999999999</v>
      </c>
      <c r="I186">
        <v>141.1</v>
      </c>
      <c r="J186">
        <v>120.7</v>
      </c>
      <c r="K186">
        <v>141.30000000000001</v>
      </c>
      <c r="L186">
        <v>151.6</v>
      </c>
      <c r="M186">
        <v>127.3</v>
      </c>
      <c r="N186">
        <v>118.8</v>
      </c>
      <c r="O186">
        <v>137.5</v>
      </c>
      <c r="P186">
        <v>129</v>
      </c>
      <c r="Q186">
        <v>149.5</v>
      </c>
      <c r="R186">
        <v>139.19999999999999</v>
      </c>
      <c r="S186">
        <v>154.69999999999999</v>
      </c>
      <c r="T186">
        <v>143.5</v>
      </c>
      <c r="U186">
        <v>135.5</v>
      </c>
      <c r="V186">
        <v>142.30000000000001</v>
      </c>
      <c r="W186">
        <v>140.4</v>
      </c>
      <c r="X186">
        <v>136.6</v>
      </c>
      <c r="Y186">
        <v>134.9</v>
      </c>
      <c r="Z186">
        <v>133.30000000000001</v>
      </c>
      <c r="AA186">
        <v>119.3</v>
      </c>
      <c r="AB186">
        <v>129.69999999999999</v>
      </c>
      <c r="AC186">
        <v>139</v>
      </c>
      <c r="AD186">
        <v>127.3</v>
      </c>
      <c r="AE186">
        <v>129.1</v>
      </c>
      <c r="AF186">
        <v>136.9</v>
      </c>
    </row>
    <row r="187" spans="2:32" x14ac:dyDescent="0.3">
      <c r="B187" t="s">
        <v>30</v>
      </c>
      <c r="C187">
        <v>2018</v>
      </c>
      <c r="D187" t="s">
        <v>35</v>
      </c>
      <c r="E187" s="40" t="s">
        <v>270</v>
      </c>
      <c r="F187">
        <v>136.4</v>
      </c>
      <c r="G187">
        <v>143.69999999999999</v>
      </c>
      <c r="H187">
        <v>140.6</v>
      </c>
      <c r="I187">
        <v>141.5</v>
      </c>
      <c r="J187">
        <v>122.9</v>
      </c>
      <c r="K187">
        <v>149.4</v>
      </c>
      <c r="L187">
        <v>142.4</v>
      </c>
      <c r="M187">
        <v>130.19999999999999</v>
      </c>
      <c r="N187">
        <v>117.9</v>
      </c>
      <c r="O187">
        <v>135.6</v>
      </c>
      <c r="P187">
        <v>130.5</v>
      </c>
      <c r="Q187">
        <v>151.69999999999999</v>
      </c>
      <c r="R187">
        <v>138.69999999999999</v>
      </c>
      <c r="S187">
        <v>153.30000000000001</v>
      </c>
      <c r="T187">
        <v>148.69999999999999</v>
      </c>
      <c r="U187">
        <v>142.4</v>
      </c>
      <c r="V187">
        <v>147.80000000000001</v>
      </c>
      <c r="W187">
        <v>141.30000000000001</v>
      </c>
      <c r="X187">
        <v>142.4</v>
      </c>
      <c r="Y187">
        <v>139.9</v>
      </c>
      <c r="Z187">
        <v>136.19999999999999</v>
      </c>
      <c r="AA187">
        <v>123.3</v>
      </c>
      <c r="AB187">
        <v>134.30000000000001</v>
      </c>
      <c r="AC187">
        <v>141.5</v>
      </c>
      <c r="AD187">
        <v>128.80000000000001</v>
      </c>
      <c r="AE187">
        <v>132.5</v>
      </c>
      <c r="AF187">
        <v>138.5</v>
      </c>
    </row>
    <row r="188" spans="2:32" x14ac:dyDescent="0.3">
      <c r="B188" t="s">
        <v>33</v>
      </c>
      <c r="C188">
        <v>2018</v>
      </c>
      <c r="D188" t="s">
        <v>35</v>
      </c>
      <c r="E188" s="40" t="s">
        <v>270</v>
      </c>
      <c r="F188">
        <v>134.80000000000001</v>
      </c>
      <c r="G188">
        <v>143</v>
      </c>
      <c r="H188">
        <v>139.9</v>
      </c>
      <c r="I188">
        <v>139.9</v>
      </c>
      <c r="J188">
        <v>116.2</v>
      </c>
      <c r="K188">
        <v>135.5</v>
      </c>
      <c r="L188">
        <v>136.9</v>
      </c>
      <c r="M188">
        <v>117</v>
      </c>
      <c r="N188">
        <v>115.4</v>
      </c>
      <c r="O188">
        <v>140.69999999999999</v>
      </c>
      <c r="P188">
        <v>125.9</v>
      </c>
      <c r="Q188">
        <v>147.1</v>
      </c>
      <c r="R188">
        <v>135.6</v>
      </c>
      <c r="S188">
        <v>159.30000000000001</v>
      </c>
      <c r="T188">
        <v>136.30000000000001</v>
      </c>
      <c r="U188">
        <v>126.1</v>
      </c>
      <c r="V188">
        <v>134.69999999999999</v>
      </c>
      <c r="W188">
        <v>141.30000000000001</v>
      </c>
      <c r="X188">
        <v>127.3</v>
      </c>
      <c r="Y188">
        <v>129.9</v>
      </c>
      <c r="Z188">
        <v>129.80000000000001</v>
      </c>
      <c r="AA188">
        <v>117.4</v>
      </c>
      <c r="AB188">
        <v>126.5</v>
      </c>
      <c r="AC188">
        <v>137.19999999999999</v>
      </c>
      <c r="AD188">
        <v>126.2</v>
      </c>
      <c r="AE188">
        <v>126.5</v>
      </c>
      <c r="AF188">
        <v>134</v>
      </c>
    </row>
    <row r="189" spans="2:32" x14ac:dyDescent="0.3">
      <c r="B189" t="s">
        <v>34</v>
      </c>
      <c r="C189">
        <v>2018</v>
      </c>
      <c r="D189" t="s">
        <v>35</v>
      </c>
      <c r="E189" s="40" t="s">
        <v>270</v>
      </c>
      <c r="F189">
        <v>135.9</v>
      </c>
      <c r="G189">
        <v>143.5</v>
      </c>
      <c r="H189">
        <v>140.30000000000001</v>
      </c>
      <c r="I189">
        <v>140.9</v>
      </c>
      <c r="J189">
        <v>120.4</v>
      </c>
      <c r="K189">
        <v>142.9</v>
      </c>
      <c r="L189">
        <v>140.5</v>
      </c>
      <c r="M189">
        <v>125.8</v>
      </c>
      <c r="N189">
        <v>117.1</v>
      </c>
      <c r="O189">
        <v>137.30000000000001</v>
      </c>
      <c r="P189">
        <v>128.6</v>
      </c>
      <c r="Q189">
        <v>149.6</v>
      </c>
      <c r="R189">
        <v>137.6</v>
      </c>
      <c r="S189">
        <v>154.9</v>
      </c>
      <c r="T189">
        <v>143.80000000000001</v>
      </c>
      <c r="U189">
        <v>135.6</v>
      </c>
      <c r="V189">
        <v>142.6</v>
      </c>
      <c r="W189">
        <v>141.30000000000001</v>
      </c>
      <c r="X189">
        <v>136.69999999999999</v>
      </c>
      <c r="Y189">
        <v>135.19999999999999</v>
      </c>
      <c r="Z189">
        <v>133.80000000000001</v>
      </c>
      <c r="AA189">
        <v>120.2</v>
      </c>
      <c r="AB189">
        <v>129.9</v>
      </c>
      <c r="AC189">
        <v>139</v>
      </c>
      <c r="AD189">
        <v>127.7</v>
      </c>
      <c r="AE189">
        <v>129.6</v>
      </c>
      <c r="AF189">
        <v>136.4</v>
      </c>
    </row>
    <row r="190" spans="2:32" x14ac:dyDescent="0.3">
      <c r="B190" t="s">
        <v>30</v>
      </c>
      <c r="C190">
        <v>2018</v>
      </c>
      <c r="D190" t="s">
        <v>36</v>
      </c>
      <c r="E190" s="40" t="s">
        <v>271</v>
      </c>
      <c r="F190">
        <v>136.80000000000001</v>
      </c>
      <c r="G190">
        <v>143.80000000000001</v>
      </c>
      <c r="H190">
        <v>140</v>
      </c>
      <c r="I190">
        <v>142</v>
      </c>
      <c r="J190">
        <v>123.2</v>
      </c>
      <c r="K190">
        <v>152.9</v>
      </c>
      <c r="L190">
        <v>138</v>
      </c>
      <c r="M190">
        <v>129.30000000000001</v>
      </c>
      <c r="N190">
        <v>117.1</v>
      </c>
      <c r="O190">
        <v>136.30000000000001</v>
      </c>
      <c r="P190">
        <v>131.19999999999999</v>
      </c>
      <c r="Q190">
        <v>152.80000000000001</v>
      </c>
      <c r="R190">
        <v>138.6</v>
      </c>
      <c r="S190">
        <v>155.1</v>
      </c>
      <c r="T190">
        <v>149.19999999999999</v>
      </c>
      <c r="U190">
        <v>143</v>
      </c>
      <c r="V190">
        <v>148.30000000000001</v>
      </c>
      <c r="W190">
        <v>142</v>
      </c>
      <c r="X190">
        <v>142.6</v>
      </c>
      <c r="Y190">
        <v>139.9</v>
      </c>
      <c r="Z190">
        <v>136.69999999999999</v>
      </c>
      <c r="AA190">
        <v>124.6</v>
      </c>
      <c r="AB190">
        <v>135.1</v>
      </c>
      <c r="AC190">
        <v>142.69999999999999</v>
      </c>
      <c r="AD190">
        <v>129.30000000000001</v>
      </c>
      <c r="AE190">
        <v>133.30000000000001</v>
      </c>
      <c r="AF190">
        <v>138.69999999999999</v>
      </c>
    </row>
    <row r="191" spans="2:32" x14ac:dyDescent="0.3">
      <c r="B191" t="s">
        <v>33</v>
      </c>
      <c r="C191">
        <v>2018</v>
      </c>
      <c r="D191" t="s">
        <v>36</v>
      </c>
      <c r="E191" s="40" t="s">
        <v>271</v>
      </c>
      <c r="F191">
        <v>135</v>
      </c>
      <c r="G191">
        <v>143.1</v>
      </c>
      <c r="H191">
        <v>135.5</v>
      </c>
      <c r="I191">
        <v>139.9</v>
      </c>
      <c r="J191">
        <v>116.5</v>
      </c>
      <c r="K191">
        <v>138.5</v>
      </c>
      <c r="L191">
        <v>128</v>
      </c>
      <c r="M191">
        <v>115.5</v>
      </c>
      <c r="N191">
        <v>114.2</v>
      </c>
      <c r="O191">
        <v>140.69999999999999</v>
      </c>
      <c r="P191">
        <v>126.2</v>
      </c>
      <c r="Q191">
        <v>147.6</v>
      </c>
      <c r="R191">
        <v>134.80000000000001</v>
      </c>
      <c r="S191">
        <v>159.69999999999999</v>
      </c>
      <c r="T191">
        <v>136.69999999999999</v>
      </c>
      <c r="U191">
        <v>126.7</v>
      </c>
      <c r="V191">
        <v>135.19999999999999</v>
      </c>
      <c r="W191">
        <v>142</v>
      </c>
      <c r="X191">
        <v>126.4</v>
      </c>
      <c r="Y191">
        <v>130.80000000000001</v>
      </c>
      <c r="Z191">
        <v>130.5</v>
      </c>
      <c r="AA191">
        <v>117.8</v>
      </c>
      <c r="AB191">
        <v>126.8</v>
      </c>
      <c r="AC191">
        <v>137.80000000000001</v>
      </c>
      <c r="AD191">
        <v>126.7</v>
      </c>
      <c r="AE191">
        <v>127.1</v>
      </c>
      <c r="AF191">
        <v>134</v>
      </c>
    </row>
    <row r="192" spans="2:32" x14ac:dyDescent="0.3">
      <c r="B192" t="s">
        <v>34</v>
      </c>
      <c r="C192">
        <v>2018</v>
      </c>
      <c r="D192" t="s">
        <v>36</v>
      </c>
      <c r="E192" s="40" t="s">
        <v>271</v>
      </c>
      <c r="F192">
        <v>136.19999999999999</v>
      </c>
      <c r="G192">
        <v>143.6</v>
      </c>
      <c r="H192">
        <v>138.30000000000001</v>
      </c>
      <c r="I192">
        <v>141.19999999999999</v>
      </c>
      <c r="J192">
        <v>120.7</v>
      </c>
      <c r="K192">
        <v>146.19999999999999</v>
      </c>
      <c r="L192">
        <v>134.6</v>
      </c>
      <c r="M192">
        <v>124.6</v>
      </c>
      <c r="N192">
        <v>116.1</v>
      </c>
      <c r="O192">
        <v>137.80000000000001</v>
      </c>
      <c r="P192">
        <v>129.1</v>
      </c>
      <c r="Q192">
        <v>150.4</v>
      </c>
      <c r="R192">
        <v>137.19999999999999</v>
      </c>
      <c r="S192">
        <v>156.30000000000001</v>
      </c>
      <c r="T192">
        <v>144.30000000000001</v>
      </c>
      <c r="U192">
        <v>136.19999999999999</v>
      </c>
      <c r="V192">
        <v>143.1</v>
      </c>
      <c r="W192">
        <v>142</v>
      </c>
      <c r="X192">
        <v>136.5</v>
      </c>
      <c r="Y192">
        <v>135.6</v>
      </c>
      <c r="Z192">
        <v>134.30000000000001</v>
      </c>
      <c r="AA192">
        <v>121</v>
      </c>
      <c r="AB192">
        <v>130.4</v>
      </c>
      <c r="AC192">
        <v>139.80000000000001</v>
      </c>
      <c r="AD192">
        <v>128.19999999999999</v>
      </c>
      <c r="AE192">
        <v>130.30000000000001</v>
      </c>
      <c r="AF192">
        <v>136.5</v>
      </c>
    </row>
    <row r="193" spans="2:32" x14ac:dyDescent="0.3">
      <c r="B193" t="s">
        <v>30</v>
      </c>
      <c r="C193">
        <v>2018</v>
      </c>
      <c r="D193" t="s">
        <v>37</v>
      </c>
      <c r="E193" s="40" t="s">
        <v>272</v>
      </c>
      <c r="F193">
        <v>137.1</v>
      </c>
      <c r="G193">
        <v>144.5</v>
      </c>
      <c r="H193">
        <v>135.9</v>
      </c>
      <c r="I193">
        <v>142.4</v>
      </c>
      <c r="J193">
        <v>123.5</v>
      </c>
      <c r="K193">
        <v>156.4</v>
      </c>
      <c r="L193">
        <v>135.1</v>
      </c>
      <c r="M193">
        <v>128.4</v>
      </c>
      <c r="N193">
        <v>115.2</v>
      </c>
      <c r="O193">
        <v>137.19999999999999</v>
      </c>
      <c r="P193">
        <v>131.9</v>
      </c>
      <c r="Q193">
        <v>153.80000000000001</v>
      </c>
      <c r="R193">
        <v>138.6</v>
      </c>
      <c r="S193">
        <v>156.1</v>
      </c>
      <c r="T193">
        <v>150.1</v>
      </c>
      <c r="U193">
        <v>143.30000000000001</v>
      </c>
      <c r="V193">
        <v>149.1</v>
      </c>
      <c r="W193">
        <v>142.9</v>
      </c>
      <c r="X193">
        <v>143.80000000000001</v>
      </c>
      <c r="Y193">
        <v>140.9</v>
      </c>
      <c r="Z193">
        <v>137.6</v>
      </c>
      <c r="AA193">
        <v>125.3</v>
      </c>
      <c r="AB193">
        <v>136</v>
      </c>
      <c r="AC193">
        <v>143.69999999999999</v>
      </c>
      <c r="AD193">
        <v>130.4</v>
      </c>
      <c r="AE193">
        <v>134.19999999999999</v>
      </c>
      <c r="AF193">
        <v>139.1</v>
      </c>
    </row>
    <row r="194" spans="2:32" x14ac:dyDescent="0.3">
      <c r="B194" t="s">
        <v>33</v>
      </c>
      <c r="C194">
        <v>2018</v>
      </c>
      <c r="D194" t="s">
        <v>37</v>
      </c>
      <c r="E194" s="40" t="s">
        <v>272</v>
      </c>
      <c r="F194">
        <v>135</v>
      </c>
      <c r="G194">
        <v>144.30000000000001</v>
      </c>
      <c r="H194">
        <v>130.80000000000001</v>
      </c>
      <c r="I194">
        <v>140.30000000000001</v>
      </c>
      <c r="J194">
        <v>116.6</v>
      </c>
      <c r="K194">
        <v>150.1</v>
      </c>
      <c r="L194">
        <v>127.6</v>
      </c>
      <c r="M194">
        <v>114</v>
      </c>
      <c r="N194">
        <v>110.6</v>
      </c>
      <c r="O194">
        <v>140.19999999999999</v>
      </c>
      <c r="P194">
        <v>126.5</v>
      </c>
      <c r="Q194">
        <v>148.30000000000001</v>
      </c>
      <c r="R194">
        <v>135.69999999999999</v>
      </c>
      <c r="S194">
        <v>159.19999999999999</v>
      </c>
      <c r="T194">
        <v>137.80000000000001</v>
      </c>
      <c r="U194">
        <v>127.4</v>
      </c>
      <c r="V194">
        <v>136.19999999999999</v>
      </c>
      <c r="W194">
        <v>142.9</v>
      </c>
      <c r="X194">
        <v>124.6</v>
      </c>
      <c r="Y194">
        <v>131.80000000000001</v>
      </c>
      <c r="Z194">
        <v>131.30000000000001</v>
      </c>
      <c r="AA194">
        <v>118.9</v>
      </c>
      <c r="AB194">
        <v>127.6</v>
      </c>
      <c r="AC194">
        <v>139.69999999999999</v>
      </c>
      <c r="AD194">
        <v>127.6</v>
      </c>
      <c r="AE194">
        <v>128.19999999999999</v>
      </c>
      <c r="AF194">
        <v>134.80000000000001</v>
      </c>
    </row>
    <row r="195" spans="2:32" x14ac:dyDescent="0.3">
      <c r="B195" t="s">
        <v>34</v>
      </c>
      <c r="C195">
        <v>2018</v>
      </c>
      <c r="D195" t="s">
        <v>37</v>
      </c>
      <c r="E195" s="40" t="s">
        <v>272</v>
      </c>
      <c r="F195">
        <v>136.4</v>
      </c>
      <c r="G195">
        <v>144.4</v>
      </c>
      <c r="H195">
        <v>133.9</v>
      </c>
      <c r="I195">
        <v>141.6</v>
      </c>
      <c r="J195">
        <v>121</v>
      </c>
      <c r="K195">
        <v>153.5</v>
      </c>
      <c r="L195">
        <v>132.6</v>
      </c>
      <c r="M195">
        <v>123.5</v>
      </c>
      <c r="N195">
        <v>113.7</v>
      </c>
      <c r="O195">
        <v>138.19999999999999</v>
      </c>
      <c r="P195">
        <v>129.6</v>
      </c>
      <c r="Q195">
        <v>151.19999999999999</v>
      </c>
      <c r="R195">
        <v>137.5</v>
      </c>
      <c r="S195">
        <v>156.9</v>
      </c>
      <c r="T195">
        <v>145.30000000000001</v>
      </c>
      <c r="U195">
        <v>136.69999999999999</v>
      </c>
      <c r="V195">
        <v>144</v>
      </c>
      <c r="W195">
        <v>142.9</v>
      </c>
      <c r="X195">
        <v>136.5</v>
      </c>
      <c r="Y195">
        <v>136.6</v>
      </c>
      <c r="Z195">
        <v>135.19999999999999</v>
      </c>
      <c r="AA195">
        <v>121.9</v>
      </c>
      <c r="AB195">
        <v>131.30000000000001</v>
      </c>
      <c r="AC195">
        <v>141.4</v>
      </c>
      <c r="AD195">
        <v>129.19999999999999</v>
      </c>
      <c r="AE195">
        <v>131.30000000000001</v>
      </c>
      <c r="AF195">
        <v>137.1</v>
      </c>
    </row>
    <row r="196" spans="2:32" x14ac:dyDescent="0.3">
      <c r="B196" t="s">
        <v>30</v>
      </c>
      <c r="C196">
        <v>2018</v>
      </c>
      <c r="D196" t="s">
        <v>38</v>
      </c>
      <c r="E196" s="40" t="s">
        <v>273</v>
      </c>
      <c r="F196">
        <v>137.4</v>
      </c>
      <c r="G196">
        <v>145.69999999999999</v>
      </c>
      <c r="H196">
        <v>135.5</v>
      </c>
      <c r="I196">
        <v>142.9</v>
      </c>
      <c r="J196">
        <v>123.6</v>
      </c>
      <c r="K196">
        <v>157.5</v>
      </c>
      <c r="L196">
        <v>137.80000000000001</v>
      </c>
      <c r="M196">
        <v>127.2</v>
      </c>
      <c r="N196">
        <v>111.8</v>
      </c>
      <c r="O196">
        <v>137.4</v>
      </c>
      <c r="P196">
        <v>132.19999999999999</v>
      </c>
      <c r="Q196">
        <v>154.30000000000001</v>
      </c>
      <c r="R196">
        <v>139.1</v>
      </c>
      <c r="S196">
        <v>157</v>
      </c>
      <c r="T196">
        <v>150.80000000000001</v>
      </c>
      <c r="U196">
        <v>144.1</v>
      </c>
      <c r="V196">
        <v>149.80000000000001</v>
      </c>
      <c r="W196">
        <v>143.19999999999999</v>
      </c>
      <c r="X196">
        <v>144.30000000000001</v>
      </c>
      <c r="Y196">
        <v>141.80000000000001</v>
      </c>
      <c r="Z196">
        <v>138.4</v>
      </c>
      <c r="AA196">
        <v>126.4</v>
      </c>
      <c r="AB196">
        <v>136.80000000000001</v>
      </c>
      <c r="AC196">
        <v>144.4</v>
      </c>
      <c r="AD196">
        <v>131.19999999999999</v>
      </c>
      <c r="AE196">
        <v>135.1</v>
      </c>
      <c r="AF196">
        <v>139.80000000000001</v>
      </c>
    </row>
    <row r="197" spans="2:32" x14ac:dyDescent="0.3">
      <c r="B197" t="s">
        <v>33</v>
      </c>
      <c r="C197">
        <v>2018</v>
      </c>
      <c r="D197" t="s">
        <v>38</v>
      </c>
      <c r="E197" s="40" t="s">
        <v>273</v>
      </c>
      <c r="F197">
        <v>135</v>
      </c>
      <c r="G197">
        <v>148.19999999999999</v>
      </c>
      <c r="H197">
        <v>130.5</v>
      </c>
      <c r="I197">
        <v>140.69999999999999</v>
      </c>
      <c r="J197">
        <v>116.4</v>
      </c>
      <c r="K197">
        <v>151.30000000000001</v>
      </c>
      <c r="L197">
        <v>131.4</v>
      </c>
      <c r="M197">
        <v>112.8</v>
      </c>
      <c r="N197">
        <v>105.3</v>
      </c>
      <c r="O197">
        <v>139.6</v>
      </c>
      <c r="P197">
        <v>126.6</v>
      </c>
      <c r="Q197">
        <v>148.69999999999999</v>
      </c>
      <c r="R197">
        <v>136.4</v>
      </c>
      <c r="S197">
        <v>160.30000000000001</v>
      </c>
      <c r="T197">
        <v>138.6</v>
      </c>
      <c r="U197">
        <v>127.9</v>
      </c>
      <c r="V197">
        <v>137</v>
      </c>
      <c r="W197">
        <v>143.19999999999999</v>
      </c>
      <c r="X197">
        <v>124.7</v>
      </c>
      <c r="Y197">
        <v>132.5</v>
      </c>
      <c r="Z197">
        <v>132</v>
      </c>
      <c r="AA197">
        <v>119.8</v>
      </c>
      <c r="AB197">
        <v>128</v>
      </c>
      <c r="AC197">
        <v>140.4</v>
      </c>
      <c r="AD197">
        <v>128.1</v>
      </c>
      <c r="AE197">
        <v>128.9</v>
      </c>
      <c r="AF197">
        <v>135.4</v>
      </c>
    </row>
    <row r="198" spans="2:32" x14ac:dyDescent="0.3">
      <c r="B198" t="s">
        <v>34</v>
      </c>
      <c r="C198">
        <v>2018</v>
      </c>
      <c r="D198" t="s">
        <v>38</v>
      </c>
      <c r="E198" s="40" t="s">
        <v>273</v>
      </c>
      <c r="F198">
        <v>136.6</v>
      </c>
      <c r="G198">
        <v>146.6</v>
      </c>
      <c r="H198">
        <v>133.6</v>
      </c>
      <c r="I198">
        <v>142.1</v>
      </c>
      <c r="J198">
        <v>121</v>
      </c>
      <c r="K198">
        <v>154.6</v>
      </c>
      <c r="L198">
        <v>135.6</v>
      </c>
      <c r="M198">
        <v>122.3</v>
      </c>
      <c r="N198">
        <v>109.6</v>
      </c>
      <c r="O198">
        <v>138.1</v>
      </c>
      <c r="P198">
        <v>129.9</v>
      </c>
      <c r="Q198">
        <v>151.69999999999999</v>
      </c>
      <c r="R198">
        <v>138.1</v>
      </c>
      <c r="S198">
        <v>157.9</v>
      </c>
      <c r="T198">
        <v>146</v>
      </c>
      <c r="U198">
        <v>137.4</v>
      </c>
      <c r="V198">
        <v>144.69999999999999</v>
      </c>
      <c r="W198">
        <v>143.19999999999999</v>
      </c>
      <c r="X198">
        <v>136.9</v>
      </c>
      <c r="Y198">
        <v>137.4</v>
      </c>
      <c r="Z198">
        <v>136</v>
      </c>
      <c r="AA198">
        <v>122.9</v>
      </c>
      <c r="AB198">
        <v>131.80000000000001</v>
      </c>
      <c r="AC198">
        <v>142.1</v>
      </c>
      <c r="AD198">
        <v>129.9</v>
      </c>
      <c r="AE198">
        <v>132.1</v>
      </c>
      <c r="AF198">
        <v>137.80000000000001</v>
      </c>
    </row>
    <row r="199" spans="2:32" x14ac:dyDescent="0.3">
      <c r="B199" t="s">
        <v>30</v>
      </c>
      <c r="C199">
        <v>2018</v>
      </c>
      <c r="D199" t="s">
        <v>39</v>
      </c>
      <c r="E199" s="40" t="s">
        <v>274</v>
      </c>
      <c r="F199">
        <v>137.6</v>
      </c>
      <c r="G199">
        <v>148.1</v>
      </c>
      <c r="H199">
        <v>136.69999999999999</v>
      </c>
      <c r="I199">
        <v>143.19999999999999</v>
      </c>
      <c r="J199">
        <v>124</v>
      </c>
      <c r="K199">
        <v>154.1</v>
      </c>
      <c r="L199">
        <v>143.5</v>
      </c>
      <c r="M199">
        <v>126</v>
      </c>
      <c r="N199">
        <v>112.4</v>
      </c>
      <c r="O199">
        <v>137.6</v>
      </c>
      <c r="P199">
        <v>132.80000000000001</v>
      </c>
      <c r="Q199">
        <v>154.30000000000001</v>
      </c>
      <c r="R199">
        <v>140</v>
      </c>
      <c r="S199">
        <v>157.30000000000001</v>
      </c>
      <c r="T199">
        <v>151.30000000000001</v>
      </c>
      <c r="U199">
        <v>144.69999999999999</v>
      </c>
      <c r="V199">
        <v>150.30000000000001</v>
      </c>
      <c r="W199">
        <v>142.5</v>
      </c>
      <c r="X199">
        <v>145.1</v>
      </c>
      <c r="Y199">
        <v>142.19999999999999</v>
      </c>
      <c r="Z199">
        <v>138.4</v>
      </c>
      <c r="AA199">
        <v>127.4</v>
      </c>
      <c r="AB199">
        <v>137.80000000000001</v>
      </c>
      <c r="AC199">
        <v>145.1</v>
      </c>
      <c r="AD199">
        <v>131.4</v>
      </c>
      <c r="AE199">
        <v>135.6</v>
      </c>
      <c r="AF199">
        <v>140.5</v>
      </c>
    </row>
    <row r="200" spans="2:32" x14ac:dyDescent="0.3">
      <c r="B200" t="s">
        <v>33</v>
      </c>
      <c r="C200">
        <v>2018</v>
      </c>
      <c r="D200" t="s">
        <v>39</v>
      </c>
      <c r="E200" s="40" t="s">
        <v>274</v>
      </c>
      <c r="F200">
        <v>135.30000000000001</v>
      </c>
      <c r="G200">
        <v>149.69999999999999</v>
      </c>
      <c r="H200">
        <v>133.9</v>
      </c>
      <c r="I200">
        <v>140.80000000000001</v>
      </c>
      <c r="J200">
        <v>116.6</v>
      </c>
      <c r="K200">
        <v>152.19999999999999</v>
      </c>
      <c r="L200">
        <v>144</v>
      </c>
      <c r="M200">
        <v>112.3</v>
      </c>
      <c r="N200">
        <v>108.4</v>
      </c>
      <c r="O200">
        <v>140</v>
      </c>
      <c r="P200">
        <v>126.7</v>
      </c>
      <c r="Q200">
        <v>149</v>
      </c>
      <c r="R200">
        <v>138.4</v>
      </c>
      <c r="S200">
        <v>161</v>
      </c>
      <c r="T200">
        <v>138.9</v>
      </c>
      <c r="U200">
        <v>128.69999999999999</v>
      </c>
      <c r="V200">
        <v>137.4</v>
      </c>
      <c r="W200">
        <v>142.5</v>
      </c>
      <c r="X200">
        <v>126.5</v>
      </c>
      <c r="Y200">
        <v>133.1</v>
      </c>
      <c r="Z200">
        <v>132.6</v>
      </c>
      <c r="AA200">
        <v>120.4</v>
      </c>
      <c r="AB200">
        <v>128.5</v>
      </c>
      <c r="AC200">
        <v>141.19999999999999</v>
      </c>
      <c r="AD200">
        <v>128.19999999999999</v>
      </c>
      <c r="AE200">
        <v>129.5</v>
      </c>
      <c r="AF200">
        <v>136.19999999999999</v>
      </c>
    </row>
    <row r="201" spans="2:32" x14ac:dyDescent="0.3">
      <c r="B201" t="s">
        <v>34</v>
      </c>
      <c r="C201">
        <v>2018</v>
      </c>
      <c r="D201" t="s">
        <v>39</v>
      </c>
      <c r="E201" s="40" t="s">
        <v>274</v>
      </c>
      <c r="F201">
        <v>136.9</v>
      </c>
      <c r="G201">
        <v>148.69999999999999</v>
      </c>
      <c r="H201">
        <v>135.6</v>
      </c>
      <c r="I201">
        <v>142.30000000000001</v>
      </c>
      <c r="J201">
        <v>121.3</v>
      </c>
      <c r="K201">
        <v>153.19999999999999</v>
      </c>
      <c r="L201">
        <v>143.69999999999999</v>
      </c>
      <c r="M201">
        <v>121.4</v>
      </c>
      <c r="N201">
        <v>111.1</v>
      </c>
      <c r="O201">
        <v>138.4</v>
      </c>
      <c r="P201">
        <v>130.30000000000001</v>
      </c>
      <c r="Q201">
        <v>151.80000000000001</v>
      </c>
      <c r="R201">
        <v>139.4</v>
      </c>
      <c r="S201">
        <v>158.30000000000001</v>
      </c>
      <c r="T201">
        <v>146.4</v>
      </c>
      <c r="U201">
        <v>138.1</v>
      </c>
      <c r="V201">
        <v>145.19999999999999</v>
      </c>
      <c r="W201">
        <v>142.5</v>
      </c>
      <c r="X201">
        <v>138.1</v>
      </c>
      <c r="Y201">
        <v>137.9</v>
      </c>
      <c r="Z201">
        <v>136.19999999999999</v>
      </c>
      <c r="AA201">
        <v>123.7</v>
      </c>
      <c r="AB201">
        <v>132.6</v>
      </c>
      <c r="AC201">
        <v>142.80000000000001</v>
      </c>
      <c r="AD201">
        <v>130.1</v>
      </c>
      <c r="AE201">
        <v>132.6</v>
      </c>
      <c r="AF201">
        <v>138.5</v>
      </c>
    </row>
    <row r="202" spans="2:32" x14ac:dyDescent="0.3">
      <c r="B202" t="s">
        <v>30</v>
      </c>
      <c r="C202">
        <v>2018</v>
      </c>
      <c r="D202" t="s">
        <v>40</v>
      </c>
      <c r="E202" s="40" t="s">
        <v>275</v>
      </c>
      <c r="F202">
        <v>138.4</v>
      </c>
      <c r="G202">
        <v>149.30000000000001</v>
      </c>
      <c r="H202">
        <v>139.30000000000001</v>
      </c>
      <c r="I202">
        <v>143.4</v>
      </c>
      <c r="J202">
        <v>124.1</v>
      </c>
      <c r="K202">
        <v>153.30000000000001</v>
      </c>
      <c r="L202">
        <v>154.19999999999999</v>
      </c>
      <c r="M202">
        <v>126.4</v>
      </c>
      <c r="N202">
        <v>114.3</v>
      </c>
      <c r="O202">
        <v>138.19999999999999</v>
      </c>
      <c r="P202">
        <v>132.80000000000001</v>
      </c>
      <c r="Q202">
        <v>154.80000000000001</v>
      </c>
      <c r="R202">
        <v>142</v>
      </c>
      <c r="S202">
        <v>156.1</v>
      </c>
      <c r="T202">
        <v>151.5</v>
      </c>
      <c r="U202">
        <v>145.1</v>
      </c>
      <c r="V202">
        <v>150.6</v>
      </c>
      <c r="W202">
        <v>143.6</v>
      </c>
      <c r="X202">
        <v>146.80000000000001</v>
      </c>
      <c r="Y202">
        <v>143.1</v>
      </c>
      <c r="Z202">
        <v>139</v>
      </c>
      <c r="AA202">
        <v>127.5</v>
      </c>
      <c r="AB202">
        <v>138.4</v>
      </c>
      <c r="AC202">
        <v>145.80000000000001</v>
      </c>
      <c r="AD202">
        <v>131.4</v>
      </c>
      <c r="AE202">
        <v>136</v>
      </c>
      <c r="AF202">
        <v>141.80000000000001</v>
      </c>
    </row>
    <row r="203" spans="2:32" x14ac:dyDescent="0.3">
      <c r="B203" t="s">
        <v>33</v>
      </c>
      <c r="C203">
        <v>2018</v>
      </c>
      <c r="D203" t="s">
        <v>40</v>
      </c>
      <c r="E203" s="40" t="s">
        <v>275</v>
      </c>
      <c r="F203">
        <v>135.6</v>
      </c>
      <c r="G203">
        <v>148.6</v>
      </c>
      <c r="H203">
        <v>139.1</v>
      </c>
      <c r="I203">
        <v>141</v>
      </c>
      <c r="J203">
        <v>116.7</v>
      </c>
      <c r="K203">
        <v>149.69999999999999</v>
      </c>
      <c r="L203">
        <v>159.19999999999999</v>
      </c>
      <c r="M203">
        <v>112.6</v>
      </c>
      <c r="N203">
        <v>111.8</v>
      </c>
      <c r="O203">
        <v>140.30000000000001</v>
      </c>
      <c r="P203">
        <v>126.8</v>
      </c>
      <c r="Q203">
        <v>149.4</v>
      </c>
      <c r="R203">
        <v>140.30000000000001</v>
      </c>
      <c r="S203">
        <v>161.4</v>
      </c>
      <c r="T203">
        <v>139.6</v>
      </c>
      <c r="U203">
        <v>128.9</v>
      </c>
      <c r="V203">
        <v>137.9</v>
      </c>
      <c r="W203">
        <v>143.6</v>
      </c>
      <c r="X203">
        <v>128.1</v>
      </c>
      <c r="Y203">
        <v>133.6</v>
      </c>
      <c r="Z203">
        <v>133.6</v>
      </c>
      <c r="AA203">
        <v>120.1</v>
      </c>
      <c r="AB203">
        <v>129</v>
      </c>
      <c r="AC203">
        <v>144</v>
      </c>
      <c r="AD203">
        <v>128.19999999999999</v>
      </c>
      <c r="AE203">
        <v>130.19999999999999</v>
      </c>
      <c r="AF203">
        <v>137.5</v>
      </c>
    </row>
    <row r="204" spans="2:32" x14ac:dyDescent="0.3">
      <c r="B204" t="s">
        <v>34</v>
      </c>
      <c r="C204">
        <v>2018</v>
      </c>
      <c r="D204" t="s">
        <v>40</v>
      </c>
      <c r="E204" s="40" t="s">
        <v>275</v>
      </c>
      <c r="F204">
        <v>137.5</v>
      </c>
      <c r="G204">
        <v>149.1</v>
      </c>
      <c r="H204">
        <v>139.19999999999999</v>
      </c>
      <c r="I204">
        <v>142.5</v>
      </c>
      <c r="J204">
        <v>121.4</v>
      </c>
      <c r="K204">
        <v>151.6</v>
      </c>
      <c r="L204">
        <v>155.9</v>
      </c>
      <c r="M204">
        <v>121.7</v>
      </c>
      <c r="N204">
        <v>113.5</v>
      </c>
      <c r="O204">
        <v>138.9</v>
      </c>
      <c r="P204">
        <v>130.30000000000001</v>
      </c>
      <c r="Q204">
        <v>152.30000000000001</v>
      </c>
      <c r="R204">
        <v>141.4</v>
      </c>
      <c r="S204">
        <v>157.5</v>
      </c>
      <c r="T204">
        <v>146.80000000000001</v>
      </c>
      <c r="U204">
        <v>138.4</v>
      </c>
      <c r="V204">
        <v>145.6</v>
      </c>
      <c r="W204">
        <v>143.6</v>
      </c>
      <c r="X204">
        <v>139.69999999999999</v>
      </c>
      <c r="Y204">
        <v>138.6</v>
      </c>
      <c r="Z204">
        <v>137</v>
      </c>
      <c r="AA204">
        <v>123.6</v>
      </c>
      <c r="AB204">
        <v>133.1</v>
      </c>
      <c r="AC204">
        <v>144.69999999999999</v>
      </c>
      <c r="AD204">
        <v>130.1</v>
      </c>
      <c r="AE204">
        <v>133.19999999999999</v>
      </c>
      <c r="AF204">
        <v>139.80000000000001</v>
      </c>
    </row>
    <row r="205" spans="2:32" x14ac:dyDescent="0.3">
      <c r="B205" t="s">
        <v>30</v>
      </c>
      <c r="C205">
        <v>2018</v>
      </c>
      <c r="D205" t="s">
        <v>41</v>
      </c>
      <c r="E205" s="40" t="s">
        <v>276</v>
      </c>
      <c r="F205">
        <v>139.19999999999999</v>
      </c>
      <c r="G205">
        <v>148.80000000000001</v>
      </c>
      <c r="H205">
        <v>139.1</v>
      </c>
      <c r="I205">
        <v>143.5</v>
      </c>
      <c r="J205">
        <v>125</v>
      </c>
      <c r="K205">
        <v>154.4</v>
      </c>
      <c r="L205">
        <v>156.30000000000001</v>
      </c>
      <c r="M205">
        <v>126.8</v>
      </c>
      <c r="N205">
        <v>115.4</v>
      </c>
      <c r="O205">
        <v>138.6</v>
      </c>
      <c r="P205">
        <v>133.80000000000001</v>
      </c>
      <c r="Q205">
        <v>155.19999999999999</v>
      </c>
      <c r="R205">
        <v>142.69999999999999</v>
      </c>
      <c r="S205">
        <v>156.4</v>
      </c>
      <c r="T205">
        <v>152.1</v>
      </c>
      <c r="U205">
        <v>145.80000000000001</v>
      </c>
      <c r="V205">
        <v>151.30000000000001</v>
      </c>
      <c r="W205">
        <v>144.6</v>
      </c>
      <c r="X205">
        <v>147.69999999999999</v>
      </c>
      <c r="Y205">
        <v>143.80000000000001</v>
      </c>
      <c r="Z205">
        <v>139.4</v>
      </c>
      <c r="AA205">
        <v>128.30000000000001</v>
      </c>
      <c r="AB205">
        <v>138.6</v>
      </c>
      <c r="AC205">
        <v>146.9</v>
      </c>
      <c r="AD205">
        <v>131.30000000000001</v>
      </c>
      <c r="AE205">
        <v>136.6</v>
      </c>
      <c r="AF205">
        <v>142.5</v>
      </c>
    </row>
    <row r="206" spans="2:32" x14ac:dyDescent="0.3">
      <c r="B206" t="s">
        <v>33</v>
      </c>
      <c r="C206">
        <v>2018</v>
      </c>
      <c r="D206" t="s">
        <v>41</v>
      </c>
      <c r="E206" s="40" t="s">
        <v>276</v>
      </c>
      <c r="F206">
        <v>136.5</v>
      </c>
      <c r="G206">
        <v>146.4</v>
      </c>
      <c r="H206">
        <v>136.6</v>
      </c>
      <c r="I206">
        <v>141.19999999999999</v>
      </c>
      <c r="J206">
        <v>117.4</v>
      </c>
      <c r="K206">
        <v>146.30000000000001</v>
      </c>
      <c r="L206">
        <v>157.30000000000001</v>
      </c>
      <c r="M206">
        <v>113.6</v>
      </c>
      <c r="N206">
        <v>113.3</v>
      </c>
      <c r="O206">
        <v>141.1</v>
      </c>
      <c r="P206">
        <v>127.4</v>
      </c>
      <c r="Q206">
        <v>150.4</v>
      </c>
      <c r="R206">
        <v>140.1</v>
      </c>
      <c r="S206">
        <v>162.1</v>
      </c>
      <c r="T206">
        <v>140</v>
      </c>
      <c r="U206">
        <v>129</v>
      </c>
      <c r="V206">
        <v>138.30000000000001</v>
      </c>
      <c r="W206">
        <v>144.6</v>
      </c>
      <c r="X206">
        <v>129.80000000000001</v>
      </c>
      <c r="Y206">
        <v>134.4</v>
      </c>
      <c r="Z206">
        <v>134.9</v>
      </c>
      <c r="AA206">
        <v>120.7</v>
      </c>
      <c r="AB206">
        <v>129.80000000000001</v>
      </c>
      <c r="AC206">
        <v>145.30000000000001</v>
      </c>
      <c r="AD206">
        <v>128.30000000000001</v>
      </c>
      <c r="AE206">
        <v>131</v>
      </c>
      <c r="AF206">
        <v>138</v>
      </c>
    </row>
    <row r="207" spans="2:32" x14ac:dyDescent="0.3">
      <c r="B207" t="s">
        <v>34</v>
      </c>
      <c r="C207">
        <v>2018</v>
      </c>
      <c r="D207" t="s">
        <v>41</v>
      </c>
      <c r="E207" s="40" t="s">
        <v>276</v>
      </c>
      <c r="F207">
        <v>138.30000000000001</v>
      </c>
      <c r="G207">
        <v>148</v>
      </c>
      <c r="H207">
        <v>138.1</v>
      </c>
      <c r="I207">
        <v>142.6</v>
      </c>
      <c r="J207">
        <v>122.2</v>
      </c>
      <c r="K207">
        <v>150.6</v>
      </c>
      <c r="L207">
        <v>156.6</v>
      </c>
      <c r="M207">
        <v>122.4</v>
      </c>
      <c r="N207">
        <v>114.7</v>
      </c>
      <c r="O207">
        <v>139.4</v>
      </c>
      <c r="P207">
        <v>131.1</v>
      </c>
      <c r="Q207">
        <v>153</v>
      </c>
      <c r="R207">
        <v>141.69999999999999</v>
      </c>
      <c r="S207">
        <v>157.9</v>
      </c>
      <c r="T207">
        <v>147.30000000000001</v>
      </c>
      <c r="U207">
        <v>138.80000000000001</v>
      </c>
      <c r="V207">
        <v>146.1</v>
      </c>
      <c r="W207">
        <v>144.6</v>
      </c>
      <c r="X207">
        <v>140.9</v>
      </c>
      <c r="Y207">
        <v>139.4</v>
      </c>
      <c r="Z207">
        <v>137.69999999999999</v>
      </c>
      <c r="AA207">
        <v>124.3</v>
      </c>
      <c r="AB207">
        <v>133.6</v>
      </c>
      <c r="AC207">
        <v>146</v>
      </c>
      <c r="AD207">
        <v>130.1</v>
      </c>
      <c r="AE207">
        <v>133.9</v>
      </c>
      <c r="AF207">
        <v>140.4</v>
      </c>
    </row>
    <row r="208" spans="2:32" x14ac:dyDescent="0.3">
      <c r="B208" t="s">
        <v>30</v>
      </c>
      <c r="C208">
        <v>2018</v>
      </c>
      <c r="D208" t="s">
        <v>42</v>
      </c>
      <c r="E208" s="40" t="s">
        <v>277</v>
      </c>
      <c r="F208">
        <v>139.4</v>
      </c>
      <c r="G208">
        <v>147.19999999999999</v>
      </c>
      <c r="H208">
        <v>136.6</v>
      </c>
      <c r="I208">
        <v>143.69999999999999</v>
      </c>
      <c r="J208">
        <v>124.6</v>
      </c>
      <c r="K208">
        <v>150.1</v>
      </c>
      <c r="L208">
        <v>149.4</v>
      </c>
      <c r="M208">
        <v>125.4</v>
      </c>
      <c r="N208">
        <v>114.4</v>
      </c>
      <c r="O208">
        <v>138.69999999999999</v>
      </c>
      <c r="P208">
        <v>133.1</v>
      </c>
      <c r="Q208">
        <v>155.9</v>
      </c>
      <c r="R208">
        <v>141.30000000000001</v>
      </c>
      <c r="S208">
        <v>157.69999999999999</v>
      </c>
      <c r="T208">
        <v>152.1</v>
      </c>
      <c r="U208">
        <v>146.1</v>
      </c>
      <c r="V208">
        <v>151.30000000000001</v>
      </c>
      <c r="W208">
        <v>145.30000000000001</v>
      </c>
      <c r="X208">
        <v>149</v>
      </c>
      <c r="Y208">
        <v>144</v>
      </c>
      <c r="Z208">
        <v>140</v>
      </c>
      <c r="AA208">
        <v>129.9</v>
      </c>
      <c r="AB208">
        <v>140</v>
      </c>
      <c r="AC208">
        <v>147.6</v>
      </c>
      <c r="AD208">
        <v>132</v>
      </c>
      <c r="AE208">
        <v>137.4</v>
      </c>
      <c r="AF208">
        <v>142.1</v>
      </c>
    </row>
    <row r="209" spans="2:32" x14ac:dyDescent="0.3">
      <c r="B209" t="s">
        <v>33</v>
      </c>
      <c r="C209">
        <v>2018</v>
      </c>
      <c r="D209" t="s">
        <v>42</v>
      </c>
      <c r="E209" s="40" t="s">
        <v>277</v>
      </c>
      <c r="F209">
        <v>137</v>
      </c>
      <c r="G209">
        <v>143.1</v>
      </c>
      <c r="H209">
        <v>132.80000000000001</v>
      </c>
      <c r="I209">
        <v>141.5</v>
      </c>
      <c r="J209">
        <v>117.8</v>
      </c>
      <c r="K209">
        <v>140</v>
      </c>
      <c r="L209">
        <v>151.30000000000001</v>
      </c>
      <c r="M209">
        <v>113.5</v>
      </c>
      <c r="N209">
        <v>112.3</v>
      </c>
      <c r="O209">
        <v>141.19999999999999</v>
      </c>
      <c r="P209">
        <v>127.7</v>
      </c>
      <c r="Q209">
        <v>151.30000000000001</v>
      </c>
      <c r="R209">
        <v>138.9</v>
      </c>
      <c r="S209">
        <v>163.30000000000001</v>
      </c>
      <c r="T209">
        <v>140.80000000000001</v>
      </c>
      <c r="U209">
        <v>129.30000000000001</v>
      </c>
      <c r="V209">
        <v>139.1</v>
      </c>
      <c r="W209">
        <v>145.30000000000001</v>
      </c>
      <c r="X209">
        <v>131.19999999999999</v>
      </c>
      <c r="Y209">
        <v>134.9</v>
      </c>
      <c r="Z209">
        <v>135.69999999999999</v>
      </c>
      <c r="AA209">
        <v>122.5</v>
      </c>
      <c r="AB209">
        <v>130.19999999999999</v>
      </c>
      <c r="AC209">
        <v>145.19999999999999</v>
      </c>
      <c r="AD209">
        <v>129.30000000000001</v>
      </c>
      <c r="AE209">
        <v>131.9</v>
      </c>
      <c r="AF209">
        <v>138.1</v>
      </c>
    </row>
    <row r="210" spans="2:32" x14ac:dyDescent="0.3">
      <c r="B210" t="s">
        <v>34</v>
      </c>
      <c r="C210">
        <v>2018</v>
      </c>
      <c r="D210" t="s">
        <v>42</v>
      </c>
      <c r="E210" s="40" t="s">
        <v>277</v>
      </c>
      <c r="F210">
        <v>138.6</v>
      </c>
      <c r="G210">
        <v>145.80000000000001</v>
      </c>
      <c r="H210">
        <v>135.1</v>
      </c>
      <c r="I210">
        <v>142.9</v>
      </c>
      <c r="J210">
        <v>122.1</v>
      </c>
      <c r="K210">
        <v>145.4</v>
      </c>
      <c r="L210">
        <v>150</v>
      </c>
      <c r="M210">
        <v>121.4</v>
      </c>
      <c r="N210">
        <v>113.7</v>
      </c>
      <c r="O210">
        <v>139.5</v>
      </c>
      <c r="P210">
        <v>130.80000000000001</v>
      </c>
      <c r="Q210">
        <v>153.80000000000001</v>
      </c>
      <c r="R210">
        <v>140.4</v>
      </c>
      <c r="S210">
        <v>159.19999999999999</v>
      </c>
      <c r="T210">
        <v>147.69999999999999</v>
      </c>
      <c r="U210">
        <v>139.1</v>
      </c>
      <c r="V210">
        <v>146.5</v>
      </c>
      <c r="W210">
        <v>145.30000000000001</v>
      </c>
      <c r="X210">
        <v>142.30000000000001</v>
      </c>
      <c r="Y210">
        <v>139.69999999999999</v>
      </c>
      <c r="Z210">
        <v>138.4</v>
      </c>
      <c r="AA210">
        <v>126</v>
      </c>
      <c r="AB210">
        <v>134.5</v>
      </c>
      <c r="AC210">
        <v>146.19999999999999</v>
      </c>
      <c r="AD210">
        <v>130.9</v>
      </c>
      <c r="AE210">
        <v>134.69999999999999</v>
      </c>
      <c r="AF210">
        <v>140.19999999999999</v>
      </c>
    </row>
    <row r="211" spans="2:32" x14ac:dyDescent="0.3">
      <c r="B211" t="s">
        <v>30</v>
      </c>
      <c r="C211">
        <v>2018</v>
      </c>
      <c r="D211" t="s">
        <v>43</v>
      </c>
      <c r="E211" s="40" t="s">
        <v>278</v>
      </c>
      <c r="F211">
        <v>139.30000000000001</v>
      </c>
      <c r="G211">
        <v>147.6</v>
      </c>
      <c r="H211">
        <v>134.6</v>
      </c>
      <c r="I211">
        <v>141.9</v>
      </c>
      <c r="J211">
        <v>123.5</v>
      </c>
      <c r="K211">
        <v>144.5</v>
      </c>
      <c r="L211">
        <v>147.6</v>
      </c>
      <c r="M211">
        <v>121.4</v>
      </c>
      <c r="N211">
        <v>112.3</v>
      </c>
      <c r="O211">
        <v>139.5</v>
      </c>
      <c r="P211">
        <v>134.6</v>
      </c>
      <c r="Q211">
        <v>155.19999999999999</v>
      </c>
      <c r="R211">
        <v>140.19999999999999</v>
      </c>
      <c r="S211">
        <v>159.6</v>
      </c>
      <c r="T211">
        <v>150.69999999999999</v>
      </c>
      <c r="U211">
        <v>144.5</v>
      </c>
      <c r="V211">
        <v>149.80000000000001</v>
      </c>
      <c r="W211">
        <v>147.5</v>
      </c>
      <c r="X211">
        <v>149.69999999999999</v>
      </c>
      <c r="Y211">
        <v>147.5</v>
      </c>
      <c r="Z211">
        <v>144.80000000000001</v>
      </c>
      <c r="AA211">
        <v>130.80000000000001</v>
      </c>
      <c r="AB211">
        <v>140.1</v>
      </c>
      <c r="AC211">
        <v>148</v>
      </c>
      <c r="AD211">
        <v>134.4</v>
      </c>
      <c r="AE211">
        <v>139.80000000000001</v>
      </c>
      <c r="AF211">
        <v>142.19999999999999</v>
      </c>
    </row>
    <row r="212" spans="2:32" x14ac:dyDescent="0.3">
      <c r="B212" t="s">
        <v>33</v>
      </c>
      <c r="C212">
        <v>2018</v>
      </c>
      <c r="D212" t="s">
        <v>43</v>
      </c>
      <c r="E212" s="40" t="s">
        <v>278</v>
      </c>
      <c r="F212">
        <v>137.6</v>
      </c>
      <c r="G212">
        <v>144.9</v>
      </c>
      <c r="H212">
        <v>133.5</v>
      </c>
      <c r="I212">
        <v>141.5</v>
      </c>
      <c r="J212">
        <v>118</v>
      </c>
      <c r="K212">
        <v>139.5</v>
      </c>
      <c r="L212">
        <v>153</v>
      </c>
      <c r="M212">
        <v>113.2</v>
      </c>
      <c r="N212">
        <v>112.8</v>
      </c>
      <c r="O212">
        <v>141.1</v>
      </c>
      <c r="P212">
        <v>127.6</v>
      </c>
      <c r="Q212">
        <v>152</v>
      </c>
      <c r="R212">
        <v>139.4</v>
      </c>
      <c r="S212">
        <v>164</v>
      </c>
      <c r="T212">
        <v>141.5</v>
      </c>
      <c r="U212">
        <v>129.80000000000001</v>
      </c>
      <c r="V212">
        <v>139.69999999999999</v>
      </c>
      <c r="W212">
        <v>146.30000000000001</v>
      </c>
      <c r="X212">
        <v>133.4</v>
      </c>
      <c r="Y212">
        <v>135.1</v>
      </c>
      <c r="Z212">
        <v>136.19999999999999</v>
      </c>
      <c r="AA212">
        <v>123.3</v>
      </c>
      <c r="AB212">
        <v>130.69999999999999</v>
      </c>
      <c r="AC212">
        <v>145.5</v>
      </c>
      <c r="AD212">
        <v>130.4</v>
      </c>
      <c r="AE212">
        <v>132.5</v>
      </c>
      <c r="AF212">
        <v>138.9</v>
      </c>
    </row>
    <row r="213" spans="2:32" x14ac:dyDescent="0.3">
      <c r="B213" t="s">
        <v>34</v>
      </c>
      <c r="C213">
        <v>2018</v>
      </c>
      <c r="D213" t="s">
        <v>43</v>
      </c>
      <c r="E213" s="40" t="s">
        <v>278</v>
      </c>
      <c r="F213">
        <v>137.4</v>
      </c>
      <c r="G213">
        <v>149.5</v>
      </c>
      <c r="H213">
        <v>137.30000000000001</v>
      </c>
      <c r="I213">
        <v>141.9</v>
      </c>
      <c r="J213">
        <v>121.1</v>
      </c>
      <c r="K213">
        <v>142.5</v>
      </c>
      <c r="L213">
        <v>146.69999999999999</v>
      </c>
      <c r="M213">
        <v>119.1</v>
      </c>
      <c r="N213">
        <v>111.9</v>
      </c>
      <c r="O213">
        <v>141</v>
      </c>
      <c r="P213">
        <v>133.6</v>
      </c>
      <c r="Q213">
        <v>154.5</v>
      </c>
      <c r="R213">
        <v>139.69999999999999</v>
      </c>
      <c r="S213">
        <v>162.6</v>
      </c>
      <c r="T213">
        <v>148</v>
      </c>
      <c r="U213">
        <v>139.19999999999999</v>
      </c>
      <c r="V213">
        <v>146.80000000000001</v>
      </c>
      <c r="W213">
        <v>146.9</v>
      </c>
      <c r="X213">
        <v>145.30000000000001</v>
      </c>
      <c r="Y213">
        <v>142.19999999999999</v>
      </c>
      <c r="Z213">
        <v>142.1</v>
      </c>
      <c r="AA213">
        <v>125.5</v>
      </c>
      <c r="AB213">
        <v>136.5</v>
      </c>
      <c r="AC213">
        <v>147.80000000000001</v>
      </c>
      <c r="AD213">
        <v>132</v>
      </c>
      <c r="AE213">
        <v>136.30000000000001</v>
      </c>
      <c r="AF213">
        <v>140.80000000000001</v>
      </c>
    </row>
    <row r="214" spans="2:32" x14ac:dyDescent="0.3">
      <c r="B214" t="s">
        <v>30</v>
      </c>
      <c r="C214">
        <v>2018</v>
      </c>
      <c r="D214" t="s">
        <v>45</v>
      </c>
      <c r="E214" s="40" t="s">
        <v>279</v>
      </c>
      <c r="F214">
        <v>137.1</v>
      </c>
      <c r="G214">
        <v>150.80000000000001</v>
      </c>
      <c r="H214">
        <v>136.69999999999999</v>
      </c>
      <c r="I214">
        <v>141.9</v>
      </c>
      <c r="J214">
        <v>122.8</v>
      </c>
      <c r="K214">
        <v>143.9</v>
      </c>
      <c r="L214">
        <v>147.5</v>
      </c>
      <c r="M214">
        <v>121</v>
      </c>
      <c r="N214">
        <v>111.6</v>
      </c>
      <c r="O214">
        <v>140.6</v>
      </c>
      <c r="P214">
        <v>137.5</v>
      </c>
      <c r="Q214">
        <v>156.1</v>
      </c>
      <c r="R214">
        <v>140</v>
      </c>
      <c r="S214">
        <v>161.9</v>
      </c>
      <c r="T214">
        <v>151.69999999999999</v>
      </c>
      <c r="U214">
        <v>145.5</v>
      </c>
      <c r="V214">
        <v>150.80000000000001</v>
      </c>
      <c r="W214">
        <v>146.9</v>
      </c>
      <c r="X214">
        <v>150.30000000000001</v>
      </c>
      <c r="Y214">
        <v>148</v>
      </c>
      <c r="Z214">
        <v>145.4</v>
      </c>
      <c r="AA214">
        <v>130.30000000000001</v>
      </c>
      <c r="AB214">
        <v>143.1</v>
      </c>
      <c r="AC214">
        <v>150.19999999999999</v>
      </c>
      <c r="AD214">
        <v>133.1</v>
      </c>
      <c r="AE214">
        <v>140.1</v>
      </c>
      <c r="AF214">
        <v>142.4</v>
      </c>
    </row>
    <row r="215" spans="2:32" x14ac:dyDescent="0.3">
      <c r="B215" t="s">
        <v>33</v>
      </c>
      <c r="C215">
        <v>2018</v>
      </c>
      <c r="D215" t="s">
        <v>45</v>
      </c>
      <c r="E215" s="40" t="s">
        <v>279</v>
      </c>
      <c r="F215">
        <v>138.1</v>
      </c>
      <c r="G215">
        <v>146.30000000000001</v>
      </c>
      <c r="H215">
        <v>137.80000000000001</v>
      </c>
      <c r="I215">
        <v>141.6</v>
      </c>
      <c r="J215">
        <v>118.1</v>
      </c>
      <c r="K215">
        <v>141.5</v>
      </c>
      <c r="L215">
        <v>145.19999999999999</v>
      </c>
      <c r="M215">
        <v>115.3</v>
      </c>
      <c r="N215">
        <v>112.5</v>
      </c>
      <c r="O215">
        <v>141.4</v>
      </c>
      <c r="P215">
        <v>128</v>
      </c>
      <c r="Q215">
        <v>152.6</v>
      </c>
      <c r="R215">
        <v>139.1</v>
      </c>
      <c r="S215">
        <v>164.4</v>
      </c>
      <c r="T215">
        <v>142.4</v>
      </c>
      <c r="U215">
        <v>130.19999999999999</v>
      </c>
      <c r="V215">
        <v>140.5</v>
      </c>
      <c r="W215">
        <v>146.9</v>
      </c>
      <c r="X215">
        <v>136.69999999999999</v>
      </c>
      <c r="Y215">
        <v>135.80000000000001</v>
      </c>
      <c r="Z215">
        <v>136.80000000000001</v>
      </c>
      <c r="AA215">
        <v>121.2</v>
      </c>
      <c r="AB215">
        <v>131.30000000000001</v>
      </c>
      <c r="AC215">
        <v>146.1</v>
      </c>
      <c r="AD215">
        <v>130.5</v>
      </c>
      <c r="AE215">
        <v>132.19999999999999</v>
      </c>
      <c r="AF215">
        <v>139</v>
      </c>
    </row>
    <row r="216" spans="2:32" x14ac:dyDescent="0.3">
      <c r="B216" t="s">
        <v>34</v>
      </c>
      <c r="C216">
        <v>2018</v>
      </c>
      <c r="D216" t="s">
        <v>45</v>
      </c>
      <c r="E216" s="40" t="s">
        <v>279</v>
      </c>
      <c r="F216">
        <v>137.4</v>
      </c>
      <c r="G216">
        <v>149.19999999999999</v>
      </c>
      <c r="H216">
        <v>137.1</v>
      </c>
      <c r="I216">
        <v>141.80000000000001</v>
      </c>
      <c r="J216">
        <v>121.1</v>
      </c>
      <c r="K216">
        <v>142.80000000000001</v>
      </c>
      <c r="L216">
        <v>146.69999999999999</v>
      </c>
      <c r="M216">
        <v>119.1</v>
      </c>
      <c r="N216">
        <v>111.9</v>
      </c>
      <c r="O216">
        <v>140.9</v>
      </c>
      <c r="P216">
        <v>133.5</v>
      </c>
      <c r="Q216">
        <v>154.5</v>
      </c>
      <c r="R216">
        <v>139.69999999999999</v>
      </c>
      <c r="S216">
        <v>162.6</v>
      </c>
      <c r="T216">
        <v>148</v>
      </c>
      <c r="U216">
        <v>139.1</v>
      </c>
      <c r="V216">
        <v>146.69999999999999</v>
      </c>
      <c r="W216">
        <v>146.9</v>
      </c>
      <c r="X216">
        <v>145.1</v>
      </c>
      <c r="Y216">
        <v>142.19999999999999</v>
      </c>
      <c r="Z216">
        <v>142.1</v>
      </c>
      <c r="AA216">
        <v>125.5</v>
      </c>
      <c r="AB216">
        <v>136.5</v>
      </c>
      <c r="AC216">
        <v>147.80000000000001</v>
      </c>
      <c r="AD216">
        <v>132</v>
      </c>
      <c r="AE216">
        <v>136.30000000000001</v>
      </c>
      <c r="AF216">
        <v>140.80000000000001</v>
      </c>
    </row>
    <row r="217" spans="2:32" x14ac:dyDescent="0.3">
      <c r="B217" t="s">
        <v>30</v>
      </c>
      <c r="C217">
        <v>2018</v>
      </c>
      <c r="D217" t="s">
        <v>46</v>
      </c>
      <c r="E217" s="40" t="s">
        <v>280</v>
      </c>
      <c r="F217">
        <v>137.1</v>
      </c>
      <c r="G217">
        <v>151.9</v>
      </c>
      <c r="H217">
        <v>137.4</v>
      </c>
      <c r="I217">
        <v>142.4</v>
      </c>
      <c r="J217">
        <v>124.2</v>
      </c>
      <c r="K217">
        <v>140.19999999999999</v>
      </c>
      <c r="L217">
        <v>136.6</v>
      </c>
      <c r="M217">
        <v>120.9</v>
      </c>
      <c r="N217">
        <v>109.9</v>
      </c>
      <c r="O217">
        <v>140.19999999999999</v>
      </c>
      <c r="P217">
        <v>137.80000000000001</v>
      </c>
      <c r="Q217">
        <v>156</v>
      </c>
      <c r="R217">
        <v>138.5</v>
      </c>
      <c r="S217">
        <v>162.4</v>
      </c>
      <c r="T217">
        <v>151.6</v>
      </c>
      <c r="U217">
        <v>145.9</v>
      </c>
      <c r="V217">
        <v>150.80000000000001</v>
      </c>
      <c r="W217">
        <v>146.5</v>
      </c>
      <c r="X217">
        <v>149</v>
      </c>
      <c r="Y217">
        <v>149.5</v>
      </c>
      <c r="Z217">
        <v>149.6</v>
      </c>
      <c r="AA217">
        <v>128.9</v>
      </c>
      <c r="AB217">
        <v>143.30000000000001</v>
      </c>
      <c r="AC217">
        <v>155.1</v>
      </c>
      <c r="AD217">
        <v>133.19999999999999</v>
      </c>
      <c r="AE217">
        <v>141.6</v>
      </c>
      <c r="AF217">
        <v>141.9</v>
      </c>
    </row>
    <row r="218" spans="2:32" x14ac:dyDescent="0.3">
      <c r="B218" t="s">
        <v>33</v>
      </c>
      <c r="C218">
        <v>2018</v>
      </c>
      <c r="D218" t="s">
        <v>46</v>
      </c>
      <c r="E218" s="40" t="s">
        <v>280</v>
      </c>
      <c r="F218">
        <v>138.5</v>
      </c>
      <c r="G218">
        <v>147.80000000000001</v>
      </c>
      <c r="H218">
        <v>141.1</v>
      </c>
      <c r="I218">
        <v>141.6</v>
      </c>
      <c r="J218">
        <v>118.1</v>
      </c>
      <c r="K218">
        <v>138.5</v>
      </c>
      <c r="L218">
        <v>132.4</v>
      </c>
      <c r="M218">
        <v>117.5</v>
      </c>
      <c r="N218">
        <v>111</v>
      </c>
      <c r="O218">
        <v>141.5</v>
      </c>
      <c r="P218">
        <v>128.1</v>
      </c>
      <c r="Q218">
        <v>152.9</v>
      </c>
      <c r="R218">
        <v>137.6</v>
      </c>
      <c r="S218">
        <v>164.6</v>
      </c>
      <c r="T218">
        <v>142.69999999999999</v>
      </c>
      <c r="U218">
        <v>130.30000000000001</v>
      </c>
      <c r="V218">
        <v>140.80000000000001</v>
      </c>
      <c r="W218">
        <v>146.5</v>
      </c>
      <c r="X218">
        <v>132.4</v>
      </c>
      <c r="Y218">
        <v>136.19999999999999</v>
      </c>
      <c r="Z218">
        <v>137.30000000000001</v>
      </c>
      <c r="AA218">
        <v>118.8</v>
      </c>
      <c r="AB218">
        <v>131.69999999999999</v>
      </c>
      <c r="AC218">
        <v>146.5</v>
      </c>
      <c r="AD218">
        <v>130.80000000000001</v>
      </c>
      <c r="AE218">
        <v>131.69999999999999</v>
      </c>
      <c r="AF218">
        <v>138</v>
      </c>
    </row>
    <row r="219" spans="2:32" x14ac:dyDescent="0.3">
      <c r="B219" t="s">
        <v>34</v>
      </c>
      <c r="C219">
        <v>2018</v>
      </c>
      <c r="D219" t="s">
        <v>46</v>
      </c>
      <c r="E219" s="40" t="s">
        <v>280</v>
      </c>
      <c r="F219">
        <v>137.5</v>
      </c>
      <c r="G219">
        <v>150.5</v>
      </c>
      <c r="H219">
        <v>138.80000000000001</v>
      </c>
      <c r="I219">
        <v>142.1</v>
      </c>
      <c r="J219">
        <v>122</v>
      </c>
      <c r="K219">
        <v>139.4</v>
      </c>
      <c r="L219">
        <v>135.19999999999999</v>
      </c>
      <c r="M219">
        <v>119.8</v>
      </c>
      <c r="N219">
        <v>110.3</v>
      </c>
      <c r="O219">
        <v>140.6</v>
      </c>
      <c r="P219">
        <v>133.80000000000001</v>
      </c>
      <c r="Q219">
        <v>154.6</v>
      </c>
      <c r="R219">
        <v>138.19999999999999</v>
      </c>
      <c r="S219">
        <v>163</v>
      </c>
      <c r="T219">
        <v>148.1</v>
      </c>
      <c r="U219">
        <v>139.4</v>
      </c>
      <c r="V219">
        <v>146.80000000000001</v>
      </c>
      <c r="W219">
        <v>146.5</v>
      </c>
      <c r="X219">
        <v>142.69999999999999</v>
      </c>
      <c r="Y219">
        <v>143.19999999999999</v>
      </c>
      <c r="Z219">
        <v>144.9</v>
      </c>
      <c r="AA219">
        <v>123.6</v>
      </c>
      <c r="AB219">
        <v>136.80000000000001</v>
      </c>
      <c r="AC219">
        <v>150.1</v>
      </c>
      <c r="AD219">
        <v>132.19999999999999</v>
      </c>
      <c r="AE219">
        <v>136.80000000000001</v>
      </c>
      <c r="AF219">
        <v>140.1</v>
      </c>
    </row>
    <row r="220" spans="2:32" x14ac:dyDescent="0.3">
      <c r="B220" t="s">
        <v>30</v>
      </c>
      <c r="C220">
        <v>2019</v>
      </c>
      <c r="D220" t="s">
        <v>31</v>
      </c>
      <c r="E220" s="40" t="s">
        <v>157</v>
      </c>
      <c r="F220">
        <v>136.6</v>
      </c>
      <c r="G220">
        <v>152.5</v>
      </c>
      <c r="H220">
        <v>138.19999999999999</v>
      </c>
      <c r="I220">
        <v>142.4</v>
      </c>
      <c r="J220">
        <v>123.9</v>
      </c>
      <c r="K220">
        <v>135.5</v>
      </c>
      <c r="L220">
        <v>131.69999999999999</v>
      </c>
      <c r="M220">
        <v>121.3</v>
      </c>
      <c r="N220">
        <v>108.4</v>
      </c>
      <c r="O220">
        <v>138.9</v>
      </c>
      <c r="P220">
        <v>137</v>
      </c>
      <c r="Q220">
        <v>155.80000000000001</v>
      </c>
      <c r="R220">
        <v>137.4</v>
      </c>
      <c r="S220">
        <v>162.69999999999999</v>
      </c>
      <c r="T220">
        <v>150.6</v>
      </c>
      <c r="U220">
        <v>145.1</v>
      </c>
      <c r="V220">
        <v>149.9</v>
      </c>
      <c r="W220">
        <v>147.69999999999999</v>
      </c>
      <c r="X220">
        <v>146.19999999999999</v>
      </c>
      <c r="Y220">
        <v>150.1</v>
      </c>
      <c r="Z220">
        <v>149.6</v>
      </c>
      <c r="AA220">
        <v>128.6</v>
      </c>
      <c r="AB220">
        <v>142.9</v>
      </c>
      <c r="AC220">
        <v>155.19999999999999</v>
      </c>
      <c r="AD220">
        <v>133.5</v>
      </c>
      <c r="AE220">
        <v>141.69999999999999</v>
      </c>
      <c r="AF220">
        <v>141</v>
      </c>
    </row>
    <row r="221" spans="2:32" x14ac:dyDescent="0.3">
      <c r="B221" t="s">
        <v>33</v>
      </c>
      <c r="C221">
        <v>2019</v>
      </c>
      <c r="D221" t="s">
        <v>31</v>
      </c>
      <c r="E221" s="40" t="s">
        <v>157</v>
      </c>
      <c r="F221">
        <v>138.30000000000001</v>
      </c>
      <c r="G221">
        <v>149.4</v>
      </c>
      <c r="H221">
        <v>143.5</v>
      </c>
      <c r="I221">
        <v>141.69999999999999</v>
      </c>
      <c r="J221">
        <v>118.1</v>
      </c>
      <c r="K221">
        <v>135.19999999999999</v>
      </c>
      <c r="L221">
        <v>130.5</v>
      </c>
      <c r="M221">
        <v>118.2</v>
      </c>
      <c r="N221">
        <v>110.4</v>
      </c>
      <c r="O221">
        <v>140.4</v>
      </c>
      <c r="P221">
        <v>128.1</v>
      </c>
      <c r="Q221">
        <v>153.19999999999999</v>
      </c>
      <c r="R221">
        <v>137.30000000000001</v>
      </c>
      <c r="S221">
        <v>164.7</v>
      </c>
      <c r="T221">
        <v>143</v>
      </c>
      <c r="U221">
        <v>130.4</v>
      </c>
      <c r="V221">
        <v>141.1</v>
      </c>
      <c r="W221">
        <v>147.69999999999999</v>
      </c>
      <c r="X221">
        <v>128.6</v>
      </c>
      <c r="Y221">
        <v>136.30000000000001</v>
      </c>
      <c r="Z221">
        <v>137.80000000000001</v>
      </c>
      <c r="AA221">
        <v>118.6</v>
      </c>
      <c r="AB221">
        <v>131.9</v>
      </c>
      <c r="AC221">
        <v>146.6</v>
      </c>
      <c r="AD221">
        <v>131.69999999999999</v>
      </c>
      <c r="AE221">
        <v>131.80000000000001</v>
      </c>
      <c r="AF221">
        <v>138</v>
      </c>
    </row>
    <row r="222" spans="2:32" x14ac:dyDescent="0.3">
      <c r="B222" t="s">
        <v>34</v>
      </c>
      <c r="C222">
        <v>2019</v>
      </c>
      <c r="D222" t="s">
        <v>31</v>
      </c>
      <c r="E222" s="40" t="s">
        <v>157</v>
      </c>
      <c r="F222">
        <v>137.1</v>
      </c>
      <c r="G222">
        <v>151.4</v>
      </c>
      <c r="H222">
        <v>140.19999999999999</v>
      </c>
      <c r="I222">
        <v>142.1</v>
      </c>
      <c r="J222">
        <v>121.8</v>
      </c>
      <c r="K222">
        <v>135.4</v>
      </c>
      <c r="L222">
        <v>131.30000000000001</v>
      </c>
      <c r="M222">
        <v>120.3</v>
      </c>
      <c r="N222">
        <v>109.1</v>
      </c>
      <c r="O222">
        <v>139.4</v>
      </c>
      <c r="P222">
        <v>133.30000000000001</v>
      </c>
      <c r="Q222">
        <v>154.6</v>
      </c>
      <c r="R222">
        <v>137.4</v>
      </c>
      <c r="S222">
        <v>163.19999999999999</v>
      </c>
      <c r="T222">
        <v>147.6</v>
      </c>
      <c r="U222">
        <v>139</v>
      </c>
      <c r="V222">
        <v>146.4</v>
      </c>
      <c r="W222">
        <v>147.69999999999999</v>
      </c>
      <c r="X222">
        <v>139.5</v>
      </c>
      <c r="Y222">
        <v>143.6</v>
      </c>
      <c r="Z222">
        <v>145.1</v>
      </c>
      <c r="AA222">
        <v>123.3</v>
      </c>
      <c r="AB222">
        <v>136.69999999999999</v>
      </c>
      <c r="AC222">
        <v>150.19999999999999</v>
      </c>
      <c r="AD222">
        <v>132.80000000000001</v>
      </c>
      <c r="AE222">
        <v>136.9</v>
      </c>
      <c r="AF222">
        <v>139.6</v>
      </c>
    </row>
    <row r="223" spans="2:32" x14ac:dyDescent="0.3">
      <c r="B223" t="s">
        <v>30</v>
      </c>
      <c r="C223">
        <v>2019</v>
      </c>
      <c r="D223" t="s">
        <v>35</v>
      </c>
      <c r="E223" s="40" t="s">
        <v>155</v>
      </c>
      <c r="F223">
        <v>136.80000000000001</v>
      </c>
      <c r="G223">
        <v>153</v>
      </c>
      <c r="H223">
        <v>139.1</v>
      </c>
      <c r="I223">
        <v>142.5</v>
      </c>
      <c r="J223">
        <v>124.1</v>
      </c>
      <c r="K223">
        <v>135.80000000000001</v>
      </c>
      <c r="L223">
        <v>128.69999999999999</v>
      </c>
      <c r="M223">
        <v>121.5</v>
      </c>
      <c r="N223">
        <v>108.3</v>
      </c>
      <c r="O223">
        <v>139.19999999999999</v>
      </c>
      <c r="P223">
        <v>137.4</v>
      </c>
      <c r="Q223">
        <v>156.19999999999999</v>
      </c>
      <c r="R223">
        <v>137.19999999999999</v>
      </c>
      <c r="S223">
        <v>162.80000000000001</v>
      </c>
      <c r="T223">
        <v>150.5</v>
      </c>
      <c r="U223">
        <v>146.1</v>
      </c>
      <c r="V223">
        <v>149.9</v>
      </c>
      <c r="W223">
        <v>148.5</v>
      </c>
      <c r="X223">
        <v>145.30000000000001</v>
      </c>
      <c r="Y223">
        <v>150.1</v>
      </c>
      <c r="Z223">
        <v>149.9</v>
      </c>
      <c r="AA223">
        <v>129.19999999999999</v>
      </c>
      <c r="AB223">
        <v>143.4</v>
      </c>
      <c r="AC223">
        <v>155.5</v>
      </c>
      <c r="AD223">
        <v>134.9</v>
      </c>
      <c r="AE223">
        <v>142.19999999999999</v>
      </c>
      <c r="AF223">
        <v>141</v>
      </c>
    </row>
    <row r="224" spans="2:32" x14ac:dyDescent="0.3">
      <c r="B224" t="s">
        <v>33</v>
      </c>
      <c r="C224">
        <v>2019</v>
      </c>
      <c r="D224" t="s">
        <v>35</v>
      </c>
      <c r="E224" s="40" t="s">
        <v>155</v>
      </c>
      <c r="F224">
        <v>139.4</v>
      </c>
      <c r="G224">
        <v>150.1</v>
      </c>
      <c r="H224">
        <v>145.30000000000001</v>
      </c>
      <c r="I224">
        <v>141.69999999999999</v>
      </c>
      <c r="J224">
        <v>118.4</v>
      </c>
      <c r="K224">
        <v>137</v>
      </c>
      <c r="L224">
        <v>131.6</v>
      </c>
      <c r="M224">
        <v>119.9</v>
      </c>
      <c r="N224">
        <v>110.4</v>
      </c>
      <c r="O224">
        <v>140.80000000000001</v>
      </c>
      <c r="P224">
        <v>128.30000000000001</v>
      </c>
      <c r="Q224">
        <v>153.5</v>
      </c>
      <c r="R224">
        <v>138</v>
      </c>
      <c r="S224">
        <v>164.9</v>
      </c>
      <c r="T224">
        <v>143.30000000000001</v>
      </c>
      <c r="U224">
        <v>130.80000000000001</v>
      </c>
      <c r="V224">
        <v>141.4</v>
      </c>
      <c r="W224">
        <v>148.5</v>
      </c>
      <c r="X224">
        <v>127.1</v>
      </c>
      <c r="Y224">
        <v>136.6</v>
      </c>
      <c r="Z224">
        <v>138.5</v>
      </c>
      <c r="AA224">
        <v>119.2</v>
      </c>
      <c r="AB224">
        <v>132.19999999999999</v>
      </c>
      <c r="AC224">
        <v>146.6</v>
      </c>
      <c r="AD224">
        <v>133</v>
      </c>
      <c r="AE224">
        <v>132.4</v>
      </c>
      <c r="AF224">
        <v>138.6</v>
      </c>
    </row>
    <row r="225" spans="2:32" x14ac:dyDescent="0.3">
      <c r="B225" t="s">
        <v>34</v>
      </c>
      <c r="C225">
        <v>2019</v>
      </c>
      <c r="D225" t="s">
        <v>35</v>
      </c>
      <c r="E225" s="40" t="s">
        <v>155</v>
      </c>
      <c r="F225">
        <v>137.6</v>
      </c>
      <c r="G225">
        <v>152</v>
      </c>
      <c r="H225">
        <v>141.5</v>
      </c>
      <c r="I225">
        <v>142.19999999999999</v>
      </c>
      <c r="J225">
        <v>122</v>
      </c>
      <c r="K225">
        <v>136.4</v>
      </c>
      <c r="L225">
        <v>129.69999999999999</v>
      </c>
      <c r="M225">
        <v>121</v>
      </c>
      <c r="N225">
        <v>109</v>
      </c>
      <c r="O225">
        <v>139.69999999999999</v>
      </c>
      <c r="P225">
        <v>133.6</v>
      </c>
      <c r="Q225">
        <v>154.9</v>
      </c>
      <c r="R225">
        <v>137.5</v>
      </c>
      <c r="S225">
        <v>163.4</v>
      </c>
      <c r="T225">
        <v>147.69999999999999</v>
      </c>
      <c r="U225">
        <v>139.69999999999999</v>
      </c>
      <c r="V225">
        <v>146.5</v>
      </c>
      <c r="W225">
        <v>148.5</v>
      </c>
      <c r="X225">
        <v>138.4</v>
      </c>
      <c r="Y225">
        <v>143.69999999999999</v>
      </c>
      <c r="Z225">
        <v>145.6</v>
      </c>
      <c r="AA225">
        <v>123.9</v>
      </c>
      <c r="AB225">
        <v>137.1</v>
      </c>
      <c r="AC225">
        <v>150.30000000000001</v>
      </c>
      <c r="AD225">
        <v>134.1</v>
      </c>
      <c r="AE225">
        <v>137.4</v>
      </c>
      <c r="AF225">
        <v>139.9</v>
      </c>
    </row>
    <row r="226" spans="2:32" x14ac:dyDescent="0.3">
      <c r="B226" t="s">
        <v>30</v>
      </c>
      <c r="C226">
        <v>2019</v>
      </c>
      <c r="D226" t="s">
        <v>36</v>
      </c>
      <c r="E226" s="40" t="s">
        <v>163</v>
      </c>
      <c r="F226">
        <v>136.9</v>
      </c>
      <c r="G226">
        <v>154.1</v>
      </c>
      <c r="H226">
        <v>138.69999999999999</v>
      </c>
      <c r="I226">
        <v>142.5</v>
      </c>
      <c r="J226">
        <v>124.1</v>
      </c>
      <c r="K226">
        <v>136.1</v>
      </c>
      <c r="L226">
        <v>128.19999999999999</v>
      </c>
      <c r="M226">
        <v>122.3</v>
      </c>
      <c r="N226">
        <v>108.3</v>
      </c>
      <c r="O226">
        <v>138.9</v>
      </c>
      <c r="P226">
        <v>137.4</v>
      </c>
      <c r="Q226">
        <v>156.4</v>
      </c>
      <c r="R226">
        <v>137.30000000000001</v>
      </c>
      <c r="S226">
        <v>162.9</v>
      </c>
      <c r="T226">
        <v>150.80000000000001</v>
      </c>
      <c r="U226">
        <v>146.1</v>
      </c>
      <c r="V226">
        <v>150.1</v>
      </c>
      <c r="W226">
        <v>149</v>
      </c>
      <c r="X226">
        <v>146.4</v>
      </c>
      <c r="Y226">
        <v>150</v>
      </c>
      <c r="Z226">
        <v>150.4</v>
      </c>
      <c r="AA226">
        <v>129.9</v>
      </c>
      <c r="AB226">
        <v>143.80000000000001</v>
      </c>
      <c r="AC226">
        <v>155.5</v>
      </c>
      <c r="AD226">
        <v>134</v>
      </c>
      <c r="AE226">
        <v>142.4</v>
      </c>
      <c r="AF226">
        <v>141.19999999999999</v>
      </c>
    </row>
    <row r="227" spans="2:32" x14ac:dyDescent="0.3">
      <c r="B227" t="s">
        <v>33</v>
      </c>
      <c r="C227">
        <v>2019</v>
      </c>
      <c r="D227" t="s">
        <v>36</v>
      </c>
      <c r="E227" s="40" t="s">
        <v>163</v>
      </c>
      <c r="F227">
        <v>139.69999999999999</v>
      </c>
      <c r="G227">
        <v>151.1</v>
      </c>
      <c r="H227">
        <v>142.9</v>
      </c>
      <c r="I227">
        <v>141.9</v>
      </c>
      <c r="J227">
        <v>118.4</v>
      </c>
      <c r="K227">
        <v>139.4</v>
      </c>
      <c r="L227">
        <v>141.19999999999999</v>
      </c>
      <c r="M227">
        <v>120.7</v>
      </c>
      <c r="N227">
        <v>110.4</v>
      </c>
      <c r="O227">
        <v>140.69999999999999</v>
      </c>
      <c r="P227">
        <v>128.5</v>
      </c>
      <c r="Q227">
        <v>153.9</v>
      </c>
      <c r="R227">
        <v>139.6</v>
      </c>
      <c r="S227">
        <v>165.3</v>
      </c>
      <c r="T227">
        <v>143.5</v>
      </c>
      <c r="U227">
        <v>131.19999999999999</v>
      </c>
      <c r="V227">
        <v>141.6</v>
      </c>
      <c r="W227">
        <v>149</v>
      </c>
      <c r="X227">
        <v>128.80000000000001</v>
      </c>
      <c r="Y227">
        <v>136.80000000000001</v>
      </c>
      <c r="Z227">
        <v>139.19999999999999</v>
      </c>
      <c r="AA227">
        <v>119.9</v>
      </c>
      <c r="AB227">
        <v>133</v>
      </c>
      <c r="AC227">
        <v>146.69999999999999</v>
      </c>
      <c r="AD227">
        <v>132.5</v>
      </c>
      <c r="AE227">
        <v>132.80000000000001</v>
      </c>
      <c r="AF227">
        <v>139.5</v>
      </c>
    </row>
    <row r="228" spans="2:32" x14ac:dyDescent="0.3">
      <c r="B228" t="s">
        <v>34</v>
      </c>
      <c r="C228">
        <v>2019</v>
      </c>
      <c r="D228" t="s">
        <v>36</v>
      </c>
      <c r="E228" s="40" t="s">
        <v>163</v>
      </c>
      <c r="F228">
        <v>137.80000000000001</v>
      </c>
      <c r="G228">
        <v>153</v>
      </c>
      <c r="H228">
        <v>140.30000000000001</v>
      </c>
      <c r="I228">
        <v>142.30000000000001</v>
      </c>
      <c r="J228">
        <v>122</v>
      </c>
      <c r="K228">
        <v>137.6</v>
      </c>
      <c r="L228">
        <v>132.6</v>
      </c>
      <c r="M228">
        <v>121.8</v>
      </c>
      <c r="N228">
        <v>109</v>
      </c>
      <c r="O228">
        <v>139.5</v>
      </c>
      <c r="P228">
        <v>133.69999999999999</v>
      </c>
      <c r="Q228">
        <v>155.19999999999999</v>
      </c>
      <c r="R228">
        <v>138.1</v>
      </c>
      <c r="S228">
        <v>163.5</v>
      </c>
      <c r="T228">
        <v>147.9</v>
      </c>
      <c r="U228">
        <v>139.9</v>
      </c>
      <c r="V228">
        <v>146.69999999999999</v>
      </c>
      <c r="W228">
        <v>149</v>
      </c>
      <c r="X228">
        <v>139.69999999999999</v>
      </c>
      <c r="Y228">
        <v>143.80000000000001</v>
      </c>
      <c r="Z228">
        <v>146.19999999999999</v>
      </c>
      <c r="AA228">
        <v>124.6</v>
      </c>
      <c r="AB228">
        <v>137.69999999999999</v>
      </c>
      <c r="AC228">
        <v>150.30000000000001</v>
      </c>
      <c r="AD228">
        <v>133.4</v>
      </c>
      <c r="AE228">
        <v>137.69999999999999</v>
      </c>
      <c r="AF228">
        <v>140.4</v>
      </c>
    </row>
    <row r="229" spans="2:32" x14ac:dyDescent="0.3">
      <c r="B229" t="s">
        <v>30</v>
      </c>
      <c r="C229">
        <v>2019</v>
      </c>
      <c r="D229" t="s">
        <v>38</v>
      </c>
      <c r="E229" s="40" t="s">
        <v>165</v>
      </c>
      <c r="F229">
        <v>137.4</v>
      </c>
      <c r="G229">
        <v>159.5</v>
      </c>
      <c r="H229">
        <v>134.5</v>
      </c>
      <c r="I229">
        <v>142.6</v>
      </c>
      <c r="J229">
        <v>124</v>
      </c>
      <c r="K229">
        <v>143.69999999999999</v>
      </c>
      <c r="L229">
        <v>133.4</v>
      </c>
      <c r="M229">
        <v>125.1</v>
      </c>
      <c r="N229">
        <v>109.3</v>
      </c>
      <c r="O229">
        <v>139.30000000000001</v>
      </c>
      <c r="P229">
        <v>137.69999999999999</v>
      </c>
      <c r="Q229">
        <v>156.4</v>
      </c>
      <c r="R229">
        <v>139.19999999999999</v>
      </c>
      <c r="S229">
        <v>163.30000000000001</v>
      </c>
      <c r="T229">
        <v>151.30000000000001</v>
      </c>
      <c r="U229">
        <v>146.6</v>
      </c>
      <c r="V229">
        <v>150.69999999999999</v>
      </c>
      <c r="W229">
        <v>150.1</v>
      </c>
      <c r="X229">
        <v>146.9</v>
      </c>
      <c r="Y229">
        <v>149.5</v>
      </c>
      <c r="Z229">
        <v>151.30000000000001</v>
      </c>
      <c r="AA229">
        <v>130.19999999999999</v>
      </c>
      <c r="AB229">
        <v>145.9</v>
      </c>
      <c r="AC229">
        <v>156.69999999999999</v>
      </c>
      <c r="AD229">
        <v>133.9</v>
      </c>
      <c r="AE229">
        <v>142.9</v>
      </c>
      <c r="AF229">
        <v>142.4</v>
      </c>
    </row>
    <row r="230" spans="2:32" x14ac:dyDescent="0.3">
      <c r="B230" t="s">
        <v>33</v>
      </c>
      <c r="C230">
        <v>2019</v>
      </c>
      <c r="D230" t="s">
        <v>38</v>
      </c>
      <c r="E230" s="40" t="s">
        <v>165</v>
      </c>
      <c r="F230">
        <v>140.4</v>
      </c>
      <c r="G230">
        <v>156.69999999999999</v>
      </c>
      <c r="H230">
        <v>138.30000000000001</v>
      </c>
      <c r="I230">
        <v>142.4</v>
      </c>
      <c r="J230">
        <v>118.6</v>
      </c>
      <c r="K230">
        <v>149.69999999999999</v>
      </c>
      <c r="L230">
        <v>161.6</v>
      </c>
      <c r="M230">
        <v>124.4</v>
      </c>
      <c r="N230">
        <v>111.2</v>
      </c>
      <c r="O230">
        <v>141</v>
      </c>
      <c r="P230">
        <v>128.9</v>
      </c>
      <c r="Q230">
        <v>154.5</v>
      </c>
      <c r="R230">
        <v>143.80000000000001</v>
      </c>
      <c r="S230">
        <v>166.2</v>
      </c>
      <c r="T230">
        <v>144</v>
      </c>
      <c r="U230">
        <v>131.69999999999999</v>
      </c>
      <c r="V230">
        <v>142.19999999999999</v>
      </c>
      <c r="W230">
        <v>150.1</v>
      </c>
      <c r="X230">
        <v>129.4</v>
      </c>
      <c r="Y230">
        <v>137.19999999999999</v>
      </c>
      <c r="Z230">
        <v>139.80000000000001</v>
      </c>
      <c r="AA230">
        <v>120.1</v>
      </c>
      <c r="AB230">
        <v>134</v>
      </c>
      <c r="AC230">
        <v>148</v>
      </c>
      <c r="AD230">
        <v>132.6</v>
      </c>
      <c r="AE230">
        <v>133.30000000000001</v>
      </c>
      <c r="AF230">
        <v>141.5</v>
      </c>
    </row>
    <row r="231" spans="2:32" x14ac:dyDescent="0.3">
      <c r="B231" t="s">
        <v>34</v>
      </c>
      <c r="C231">
        <v>2019</v>
      </c>
      <c r="D231" t="s">
        <v>38</v>
      </c>
      <c r="E231" s="40" t="s">
        <v>165</v>
      </c>
      <c r="F231">
        <v>138.30000000000001</v>
      </c>
      <c r="G231">
        <v>158.5</v>
      </c>
      <c r="H231">
        <v>136</v>
      </c>
      <c r="I231">
        <v>142.5</v>
      </c>
      <c r="J231">
        <v>122</v>
      </c>
      <c r="K231">
        <v>146.5</v>
      </c>
      <c r="L231">
        <v>143</v>
      </c>
      <c r="M231">
        <v>124.9</v>
      </c>
      <c r="N231">
        <v>109.9</v>
      </c>
      <c r="O231">
        <v>139.9</v>
      </c>
      <c r="P231">
        <v>134</v>
      </c>
      <c r="Q231">
        <v>155.5</v>
      </c>
      <c r="R231">
        <v>140.9</v>
      </c>
      <c r="S231">
        <v>164.1</v>
      </c>
      <c r="T231">
        <v>148.4</v>
      </c>
      <c r="U231">
        <v>140.4</v>
      </c>
      <c r="V231">
        <v>147.30000000000001</v>
      </c>
      <c r="W231">
        <v>150.1</v>
      </c>
      <c r="X231">
        <v>140.30000000000001</v>
      </c>
      <c r="Y231">
        <v>143.69999999999999</v>
      </c>
      <c r="Z231">
        <v>146.9</v>
      </c>
      <c r="AA231">
        <v>124.9</v>
      </c>
      <c r="AB231">
        <v>139.19999999999999</v>
      </c>
      <c r="AC231">
        <v>151.6</v>
      </c>
      <c r="AD231">
        <v>133.4</v>
      </c>
      <c r="AE231">
        <v>138.19999999999999</v>
      </c>
      <c r="AF231">
        <v>142</v>
      </c>
    </row>
    <row r="232" spans="2:32" x14ac:dyDescent="0.3">
      <c r="B232" t="s">
        <v>30</v>
      </c>
      <c r="C232">
        <v>2019</v>
      </c>
      <c r="D232" t="s">
        <v>39</v>
      </c>
      <c r="E232" s="40" t="s">
        <v>161</v>
      </c>
      <c r="F232">
        <v>137.80000000000001</v>
      </c>
      <c r="G232">
        <v>163.5</v>
      </c>
      <c r="H232">
        <v>136.19999999999999</v>
      </c>
      <c r="I232">
        <v>143.19999999999999</v>
      </c>
      <c r="J232">
        <v>124.3</v>
      </c>
      <c r="K232">
        <v>143.30000000000001</v>
      </c>
      <c r="L232">
        <v>140.6</v>
      </c>
      <c r="M232">
        <v>128.69999999999999</v>
      </c>
      <c r="N232">
        <v>110.6</v>
      </c>
      <c r="O232">
        <v>140.4</v>
      </c>
      <c r="P232">
        <v>138</v>
      </c>
      <c r="Q232">
        <v>156.6</v>
      </c>
      <c r="R232">
        <v>141</v>
      </c>
      <c r="S232">
        <v>164.2</v>
      </c>
      <c r="T232">
        <v>151.4</v>
      </c>
      <c r="U232">
        <v>146.5</v>
      </c>
      <c r="V232">
        <v>150.69999999999999</v>
      </c>
      <c r="W232">
        <v>149.4</v>
      </c>
      <c r="X232">
        <v>147.80000000000001</v>
      </c>
      <c r="Y232">
        <v>149.6</v>
      </c>
      <c r="Z232">
        <v>151.69999999999999</v>
      </c>
      <c r="AA232">
        <v>130.19999999999999</v>
      </c>
      <c r="AB232">
        <v>146.4</v>
      </c>
      <c r="AC232">
        <v>157.69999999999999</v>
      </c>
      <c r="AD232">
        <v>134.80000000000001</v>
      </c>
      <c r="AE232">
        <v>143.30000000000001</v>
      </c>
      <c r="AF232">
        <v>143.6</v>
      </c>
    </row>
    <row r="233" spans="2:32" x14ac:dyDescent="0.3">
      <c r="B233" t="s">
        <v>33</v>
      </c>
      <c r="C233">
        <v>2019</v>
      </c>
      <c r="D233" t="s">
        <v>39</v>
      </c>
      <c r="E233" s="40" t="s">
        <v>161</v>
      </c>
      <c r="F233">
        <v>140.69999999999999</v>
      </c>
      <c r="G233">
        <v>159.6</v>
      </c>
      <c r="H233">
        <v>140.4</v>
      </c>
      <c r="I233">
        <v>143.4</v>
      </c>
      <c r="J233">
        <v>118.6</v>
      </c>
      <c r="K233">
        <v>150.9</v>
      </c>
      <c r="L233">
        <v>169.8</v>
      </c>
      <c r="M233">
        <v>127.4</v>
      </c>
      <c r="N233">
        <v>111.8</v>
      </c>
      <c r="O233">
        <v>141</v>
      </c>
      <c r="P233">
        <v>129</v>
      </c>
      <c r="Q233">
        <v>155.1</v>
      </c>
      <c r="R233">
        <v>145.6</v>
      </c>
      <c r="S233">
        <v>166.7</v>
      </c>
      <c r="T233">
        <v>144.30000000000001</v>
      </c>
      <c r="U233">
        <v>131.69999999999999</v>
      </c>
      <c r="V233">
        <v>142.4</v>
      </c>
      <c r="W233">
        <v>149.4</v>
      </c>
      <c r="X233">
        <v>130.5</v>
      </c>
      <c r="Y233">
        <v>137.4</v>
      </c>
      <c r="Z233">
        <v>140.30000000000001</v>
      </c>
      <c r="AA233">
        <v>119.6</v>
      </c>
      <c r="AB233">
        <v>134.30000000000001</v>
      </c>
      <c r="AC233">
        <v>148.9</v>
      </c>
      <c r="AD233">
        <v>133.69999999999999</v>
      </c>
      <c r="AE233">
        <v>133.6</v>
      </c>
      <c r="AF233">
        <v>142.1</v>
      </c>
    </row>
    <row r="234" spans="2:32" x14ac:dyDescent="0.3">
      <c r="B234" t="s">
        <v>34</v>
      </c>
      <c r="C234">
        <v>2019</v>
      </c>
      <c r="D234" t="s">
        <v>39</v>
      </c>
      <c r="E234" s="40" t="s">
        <v>161</v>
      </c>
      <c r="F234">
        <v>138.69999999999999</v>
      </c>
      <c r="G234">
        <v>162.1</v>
      </c>
      <c r="H234">
        <v>137.80000000000001</v>
      </c>
      <c r="I234">
        <v>143.30000000000001</v>
      </c>
      <c r="J234">
        <v>122.2</v>
      </c>
      <c r="K234">
        <v>146.80000000000001</v>
      </c>
      <c r="L234">
        <v>150.5</v>
      </c>
      <c r="M234">
        <v>128.30000000000001</v>
      </c>
      <c r="N234">
        <v>111</v>
      </c>
      <c r="O234">
        <v>140.6</v>
      </c>
      <c r="P234">
        <v>134.19999999999999</v>
      </c>
      <c r="Q234">
        <v>155.9</v>
      </c>
      <c r="R234">
        <v>142.69999999999999</v>
      </c>
      <c r="S234">
        <v>164.9</v>
      </c>
      <c r="T234">
        <v>148.6</v>
      </c>
      <c r="U234">
        <v>140.4</v>
      </c>
      <c r="V234">
        <v>147.4</v>
      </c>
      <c r="W234">
        <v>149.4</v>
      </c>
      <c r="X234">
        <v>141.19999999999999</v>
      </c>
      <c r="Y234">
        <v>143.80000000000001</v>
      </c>
      <c r="Z234">
        <v>147.4</v>
      </c>
      <c r="AA234">
        <v>124.6</v>
      </c>
      <c r="AB234">
        <v>139.6</v>
      </c>
      <c r="AC234">
        <v>152.5</v>
      </c>
      <c r="AD234">
        <v>134.30000000000001</v>
      </c>
      <c r="AE234">
        <v>138.6</v>
      </c>
      <c r="AF234">
        <v>142.9</v>
      </c>
    </row>
    <row r="235" spans="2:32" x14ac:dyDescent="0.3">
      <c r="B235" t="s">
        <v>30</v>
      </c>
      <c r="C235">
        <v>2019</v>
      </c>
      <c r="D235" t="s">
        <v>40</v>
      </c>
      <c r="E235" s="40" t="s">
        <v>159</v>
      </c>
      <c r="F235">
        <v>138.4</v>
      </c>
      <c r="G235">
        <v>164</v>
      </c>
      <c r="H235">
        <v>138.4</v>
      </c>
      <c r="I235">
        <v>143.9</v>
      </c>
      <c r="J235">
        <v>124.4</v>
      </c>
      <c r="K235">
        <v>146.4</v>
      </c>
      <c r="L235">
        <v>150.1</v>
      </c>
      <c r="M235">
        <v>130.6</v>
      </c>
      <c r="N235">
        <v>110.8</v>
      </c>
      <c r="O235">
        <v>141.69999999999999</v>
      </c>
      <c r="P235">
        <v>138.5</v>
      </c>
      <c r="Q235">
        <v>156.69999999999999</v>
      </c>
      <c r="R235">
        <v>143</v>
      </c>
      <c r="S235">
        <v>164.5</v>
      </c>
      <c r="T235">
        <v>151.6</v>
      </c>
      <c r="U235">
        <v>146.6</v>
      </c>
      <c r="V235">
        <v>150.9</v>
      </c>
      <c r="W235">
        <v>150.6</v>
      </c>
      <c r="X235">
        <v>146.80000000000001</v>
      </c>
      <c r="Y235">
        <v>150</v>
      </c>
      <c r="Z235">
        <v>152.19999999999999</v>
      </c>
      <c r="AA235">
        <v>131.19999999999999</v>
      </c>
      <c r="AB235">
        <v>147.5</v>
      </c>
      <c r="AC235">
        <v>159.1</v>
      </c>
      <c r="AD235">
        <v>136.1</v>
      </c>
      <c r="AE235">
        <v>144.19999999999999</v>
      </c>
      <c r="AF235">
        <v>144.9</v>
      </c>
    </row>
    <row r="236" spans="2:32" x14ac:dyDescent="0.3">
      <c r="B236" t="s">
        <v>33</v>
      </c>
      <c r="C236">
        <v>2019</v>
      </c>
      <c r="D236" t="s">
        <v>40</v>
      </c>
      <c r="E236" s="40" t="s">
        <v>159</v>
      </c>
      <c r="F236">
        <v>141.4</v>
      </c>
      <c r="G236">
        <v>160.19999999999999</v>
      </c>
      <c r="H236">
        <v>142.5</v>
      </c>
      <c r="I236">
        <v>144.1</v>
      </c>
      <c r="J236">
        <v>119.3</v>
      </c>
      <c r="K236">
        <v>154.69999999999999</v>
      </c>
      <c r="L236">
        <v>180.1</v>
      </c>
      <c r="M236">
        <v>128.9</v>
      </c>
      <c r="N236">
        <v>111.8</v>
      </c>
      <c r="O236">
        <v>141.6</v>
      </c>
      <c r="P236">
        <v>129.5</v>
      </c>
      <c r="Q236">
        <v>155.6</v>
      </c>
      <c r="R236">
        <v>147.69999999999999</v>
      </c>
      <c r="S236">
        <v>167.2</v>
      </c>
      <c r="T236">
        <v>144.69999999999999</v>
      </c>
      <c r="U236">
        <v>131.9</v>
      </c>
      <c r="V236">
        <v>142.69999999999999</v>
      </c>
      <c r="W236">
        <v>150.6</v>
      </c>
      <c r="X236">
        <v>127</v>
      </c>
      <c r="Y236">
        <v>137.69999999999999</v>
      </c>
      <c r="Z236">
        <v>140.80000000000001</v>
      </c>
      <c r="AA236">
        <v>120.6</v>
      </c>
      <c r="AB236">
        <v>135</v>
      </c>
      <c r="AC236">
        <v>150.4</v>
      </c>
      <c r="AD236">
        <v>135.1</v>
      </c>
      <c r="AE236">
        <v>134.5</v>
      </c>
      <c r="AF236">
        <v>143.30000000000001</v>
      </c>
    </row>
    <row r="237" spans="2:32" x14ac:dyDescent="0.3">
      <c r="B237" t="s">
        <v>34</v>
      </c>
      <c r="C237">
        <v>2019</v>
      </c>
      <c r="D237" t="s">
        <v>40</v>
      </c>
      <c r="E237" s="40" t="s">
        <v>159</v>
      </c>
      <c r="F237">
        <v>139.30000000000001</v>
      </c>
      <c r="G237">
        <v>162.69999999999999</v>
      </c>
      <c r="H237">
        <v>140</v>
      </c>
      <c r="I237">
        <v>144</v>
      </c>
      <c r="J237">
        <v>122.5</v>
      </c>
      <c r="K237">
        <v>150.30000000000001</v>
      </c>
      <c r="L237">
        <v>160.30000000000001</v>
      </c>
      <c r="M237">
        <v>130</v>
      </c>
      <c r="N237">
        <v>111.1</v>
      </c>
      <c r="O237">
        <v>141.69999999999999</v>
      </c>
      <c r="P237">
        <v>134.69999999999999</v>
      </c>
      <c r="Q237">
        <v>156.19999999999999</v>
      </c>
      <c r="R237">
        <v>144.69999999999999</v>
      </c>
      <c r="S237">
        <v>165.2</v>
      </c>
      <c r="T237">
        <v>148.9</v>
      </c>
      <c r="U237">
        <v>140.5</v>
      </c>
      <c r="V237">
        <v>147.6</v>
      </c>
      <c r="W237">
        <v>150.6</v>
      </c>
      <c r="X237">
        <v>139.30000000000001</v>
      </c>
      <c r="Y237">
        <v>144.19999999999999</v>
      </c>
      <c r="Z237">
        <v>147.9</v>
      </c>
      <c r="AA237">
        <v>125.6</v>
      </c>
      <c r="AB237">
        <v>140.5</v>
      </c>
      <c r="AC237">
        <v>154</v>
      </c>
      <c r="AD237">
        <v>135.69999999999999</v>
      </c>
      <c r="AE237">
        <v>139.5</v>
      </c>
      <c r="AF237">
        <v>144.19999999999999</v>
      </c>
    </row>
    <row r="238" spans="2:32" x14ac:dyDescent="0.3">
      <c r="B238" t="s">
        <v>30</v>
      </c>
      <c r="C238">
        <v>2019</v>
      </c>
      <c r="D238" t="s">
        <v>41</v>
      </c>
      <c r="E238" s="40" t="s">
        <v>151</v>
      </c>
      <c r="F238">
        <v>139.19999999999999</v>
      </c>
      <c r="G238">
        <v>161.9</v>
      </c>
      <c r="H238">
        <v>137.1</v>
      </c>
      <c r="I238">
        <v>144.6</v>
      </c>
      <c r="J238">
        <v>124.7</v>
      </c>
      <c r="K238">
        <v>145.5</v>
      </c>
      <c r="L238">
        <v>156.19999999999999</v>
      </c>
      <c r="M238">
        <v>131.5</v>
      </c>
      <c r="N238">
        <v>111.7</v>
      </c>
      <c r="O238">
        <v>142.69999999999999</v>
      </c>
      <c r="P238">
        <v>138.5</v>
      </c>
      <c r="Q238">
        <v>156.9</v>
      </c>
      <c r="R238">
        <v>144</v>
      </c>
      <c r="S238">
        <v>165.1</v>
      </c>
      <c r="T238">
        <v>151.80000000000001</v>
      </c>
      <c r="U238">
        <v>146.6</v>
      </c>
      <c r="V238">
        <v>151.1</v>
      </c>
      <c r="W238">
        <v>151.6</v>
      </c>
      <c r="X238">
        <v>146.4</v>
      </c>
      <c r="Y238">
        <v>150.19999999999999</v>
      </c>
      <c r="Z238">
        <v>152.69999999999999</v>
      </c>
      <c r="AA238">
        <v>131.4</v>
      </c>
      <c r="AB238">
        <v>148</v>
      </c>
      <c r="AC238">
        <v>159.69999999999999</v>
      </c>
      <c r="AD238">
        <v>138.80000000000001</v>
      </c>
      <c r="AE238">
        <v>144.9</v>
      </c>
      <c r="AF238">
        <v>145.69999999999999</v>
      </c>
    </row>
    <row r="239" spans="2:32" x14ac:dyDescent="0.3">
      <c r="B239" t="s">
        <v>33</v>
      </c>
      <c r="C239">
        <v>2019</v>
      </c>
      <c r="D239" t="s">
        <v>41</v>
      </c>
      <c r="E239" s="40" t="s">
        <v>151</v>
      </c>
      <c r="F239">
        <v>142.1</v>
      </c>
      <c r="G239">
        <v>158.30000000000001</v>
      </c>
      <c r="H239">
        <v>140.80000000000001</v>
      </c>
      <c r="I239">
        <v>144.9</v>
      </c>
      <c r="J239">
        <v>119.9</v>
      </c>
      <c r="K239">
        <v>153.9</v>
      </c>
      <c r="L239">
        <v>189.1</v>
      </c>
      <c r="M239">
        <v>129.80000000000001</v>
      </c>
      <c r="N239">
        <v>112.7</v>
      </c>
      <c r="O239">
        <v>142.5</v>
      </c>
      <c r="P239">
        <v>129.80000000000001</v>
      </c>
      <c r="Q239">
        <v>156.19999999999999</v>
      </c>
      <c r="R239">
        <v>149.1</v>
      </c>
      <c r="S239">
        <v>167.9</v>
      </c>
      <c r="T239">
        <v>145</v>
      </c>
      <c r="U239">
        <v>132.19999999999999</v>
      </c>
      <c r="V239">
        <v>143</v>
      </c>
      <c r="W239">
        <v>151.6</v>
      </c>
      <c r="X239">
        <v>125.5</v>
      </c>
      <c r="Y239">
        <v>138.1</v>
      </c>
      <c r="Z239">
        <v>141.5</v>
      </c>
      <c r="AA239">
        <v>120.8</v>
      </c>
      <c r="AB239">
        <v>135.4</v>
      </c>
      <c r="AC239">
        <v>151.5</v>
      </c>
      <c r="AD239">
        <v>137.80000000000001</v>
      </c>
      <c r="AE239">
        <v>135.30000000000001</v>
      </c>
      <c r="AF239">
        <v>144.19999999999999</v>
      </c>
    </row>
    <row r="240" spans="2:32" x14ac:dyDescent="0.3">
      <c r="B240" t="s">
        <v>34</v>
      </c>
      <c r="C240">
        <v>2019</v>
      </c>
      <c r="D240" t="s">
        <v>41</v>
      </c>
      <c r="E240" s="40" t="s">
        <v>151</v>
      </c>
      <c r="F240">
        <v>140.1</v>
      </c>
      <c r="G240">
        <v>160.6</v>
      </c>
      <c r="H240">
        <v>138.5</v>
      </c>
      <c r="I240">
        <v>144.69999999999999</v>
      </c>
      <c r="J240">
        <v>122.9</v>
      </c>
      <c r="K240">
        <v>149.4</v>
      </c>
      <c r="L240">
        <v>167.4</v>
      </c>
      <c r="M240">
        <v>130.9</v>
      </c>
      <c r="N240">
        <v>112</v>
      </c>
      <c r="O240">
        <v>142.6</v>
      </c>
      <c r="P240">
        <v>134.9</v>
      </c>
      <c r="Q240">
        <v>156.6</v>
      </c>
      <c r="R240">
        <v>145.9</v>
      </c>
      <c r="S240">
        <v>165.8</v>
      </c>
      <c r="T240">
        <v>149.1</v>
      </c>
      <c r="U240">
        <v>140.6</v>
      </c>
      <c r="V240">
        <v>147.9</v>
      </c>
      <c r="W240">
        <v>151.6</v>
      </c>
      <c r="X240">
        <v>138.5</v>
      </c>
      <c r="Y240">
        <v>144.5</v>
      </c>
      <c r="Z240">
        <v>148.5</v>
      </c>
      <c r="AA240">
        <v>125.8</v>
      </c>
      <c r="AB240">
        <v>140.9</v>
      </c>
      <c r="AC240">
        <v>154.9</v>
      </c>
      <c r="AD240">
        <v>138.4</v>
      </c>
      <c r="AE240">
        <v>140.19999999999999</v>
      </c>
      <c r="AF240">
        <v>145</v>
      </c>
    </row>
    <row r="241" spans="2:32" x14ac:dyDescent="0.3">
      <c r="B241" t="s">
        <v>30</v>
      </c>
      <c r="C241">
        <v>2019</v>
      </c>
      <c r="D241" t="s">
        <v>42</v>
      </c>
      <c r="E241" s="40" t="s">
        <v>170</v>
      </c>
      <c r="F241">
        <v>140.1</v>
      </c>
      <c r="G241">
        <v>161.9</v>
      </c>
      <c r="H241">
        <v>138.30000000000001</v>
      </c>
      <c r="I241">
        <v>145.69999999999999</v>
      </c>
      <c r="J241">
        <v>125.1</v>
      </c>
      <c r="K241">
        <v>143.80000000000001</v>
      </c>
      <c r="L241">
        <v>163.4</v>
      </c>
      <c r="M241">
        <v>132.19999999999999</v>
      </c>
      <c r="N241">
        <v>112.8</v>
      </c>
      <c r="O241">
        <v>144.19999999999999</v>
      </c>
      <c r="P241">
        <v>138.5</v>
      </c>
      <c r="Q241">
        <v>157.19999999999999</v>
      </c>
      <c r="R241">
        <v>145.5</v>
      </c>
      <c r="S241">
        <v>165.7</v>
      </c>
      <c r="T241">
        <v>151.69999999999999</v>
      </c>
      <c r="U241">
        <v>146.6</v>
      </c>
      <c r="V241">
        <v>151</v>
      </c>
      <c r="W241">
        <v>152.19999999999999</v>
      </c>
      <c r="X241">
        <v>146.9</v>
      </c>
      <c r="Y241">
        <v>150.30000000000001</v>
      </c>
      <c r="Z241">
        <v>153.4</v>
      </c>
      <c r="AA241">
        <v>131.6</v>
      </c>
      <c r="AB241">
        <v>148.30000000000001</v>
      </c>
      <c r="AC241">
        <v>160.19999999999999</v>
      </c>
      <c r="AD241">
        <v>140.19999999999999</v>
      </c>
      <c r="AE241">
        <v>145.4</v>
      </c>
      <c r="AF241">
        <v>146.69999999999999</v>
      </c>
    </row>
    <row r="242" spans="2:32" x14ac:dyDescent="0.3">
      <c r="B242" t="s">
        <v>33</v>
      </c>
      <c r="C242">
        <v>2019</v>
      </c>
      <c r="D242" t="s">
        <v>42</v>
      </c>
      <c r="E242" s="40" t="s">
        <v>170</v>
      </c>
      <c r="F242">
        <v>142.69999999999999</v>
      </c>
      <c r="G242">
        <v>158.69999999999999</v>
      </c>
      <c r="H242">
        <v>141.6</v>
      </c>
      <c r="I242">
        <v>144.9</v>
      </c>
      <c r="J242">
        <v>120.8</v>
      </c>
      <c r="K242">
        <v>149.80000000000001</v>
      </c>
      <c r="L242">
        <v>192.4</v>
      </c>
      <c r="M242">
        <v>130.30000000000001</v>
      </c>
      <c r="N242">
        <v>114</v>
      </c>
      <c r="O242">
        <v>143.80000000000001</v>
      </c>
      <c r="P242">
        <v>130</v>
      </c>
      <c r="Q242">
        <v>156.4</v>
      </c>
      <c r="R242">
        <v>149.5</v>
      </c>
      <c r="S242">
        <v>168.6</v>
      </c>
      <c r="T242">
        <v>145.30000000000001</v>
      </c>
      <c r="U242">
        <v>132.19999999999999</v>
      </c>
      <c r="V242">
        <v>143.30000000000001</v>
      </c>
      <c r="W242">
        <v>152.19999999999999</v>
      </c>
      <c r="X242">
        <v>126.6</v>
      </c>
      <c r="Y242">
        <v>138.30000000000001</v>
      </c>
      <c r="Z242">
        <v>141.9</v>
      </c>
      <c r="AA242">
        <v>121.2</v>
      </c>
      <c r="AB242">
        <v>135.9</v>
      </c>
      <c r="AC242">
        <v>151.6</v>
      </c>
      <c r="AD242">
        <v>139</v>
      </c>
      <c r="AE242">
        <v>135.69999999999999</v>
      </c>
      <c r="AF242">
        <v>144.69999999999999</v>
      </c>
    </row>
    <row r="243" spans="2:32" x14ac:dyDescent="0.3">
      <c r="B243" t="s">
        <v>34</v>
      </c>
      <c r="C243">
        <v>2019</v>
      </c>
      <c r="D243" t="s">
        <v>42</v>
      </c>
      <c r="E243" s="40" t="s">
        <v>170</v>
      </c>
      <c r="F243">
        <v>140.9</v>
      </c>
      <c r="G243">
        <v>160.80000000000001</v>
      </c>
      <c r="H243">
        <v>139.6</v>
      </c>
      <c r="I243">
        <v>145.4</v>
      </c>
      <c r="J243">
        <v>123.5</v>
      </c>
      <c r="K243">
        <v>146.6</v>
      </c>
      <c r="L243">
        <v>173.2</v>
      </c>
      <c r="M243">
        <v>131.6</v>
      </c>
      <c r="N243">
        <v>113.2</v>
      </c>
      <c r="O243">
        <v>144.1</v>
      </c>
      <c r="P243">
        <v>135</v>
      </c>
      <c r="Q243">
        <v>156.80000000000001</v>
      </c>
      <c r="R243">
        <v>147</v>
      </c>
      <c r="S243">
        <v>166.5</v>
      </c>
      <c r="T243">
        <v>149.19999999999999</v>
      </c>
      <c r="U243">
        <v>140.6</v>
      </c>
      <c r="V243">
        <v>147.9</v>
      </c>
      <c r="W243">
        <v>152.19999999999999</v>
      </c>
      <c r="X243">
        <v>139.19999999999999</v>
      </c>
      <c r="Y243">
        <v>144.6</v>
      </c>
      <c r="Z243">
        <v>149</v>
      </c>
      <c r="AA243">
        <v>126.1</v>
      </c>
      <c r="AB243">
        <v>141.30000000000001</v>
      </c>
      <c r="AC243">
        <v>155.19999999999999</v>
      </c>
      <c r="AD243">
        <v>139.69999999999999</v>
      </c>
      <c r="AE243">
        <v>140.69999999999999</v>
      </c>
      <c r="AF243">
        <v>145.80000000000001</v>
      </c>
    </row>
    <row r="244" spans="2:32" x14ac:dyDescent="0.3">
      <c r="B244" t="s">
        <v>30</v>
      </c>
      <c r="C244">
        <v>2019</v>
      </c>
      <c r="D244" t="s">
        <v>43</v>
      </c>
      <c r="E244" s="40" t="s">
        <v>168</v>
      </c>
      <c r="F244">
        <v>141</v>
      </c>
      <c r="G244">
        <v>161.6</v>
      </c>
      <c r="H244">
        <v>141.19999999999999</v>
      </c>
      <c r="I244">
        <v>146.5</v>
      </c>
      <c r="J244">
        <v>125.6</v>
      </c>
      <c r="K244">
        <v>145.69999999999999</v>
      </c>
      <c r="L244">
        <v>178.8</v>
      </c>
      <c r="M244">
        <v>133.1</v>
      </c>
      <c r="N244">
        <v>113.6</v>
      </c>
      <c r="O244">
        <v>145.5</v>
      </c>
      <c r="P244">
        <v>138.6</v>
      </c>
      <c r="Q244">
        <v>157.4</v>
      </c>
      <c r="R244">
        <v>148.30000000000001</v>
      </c>
      <c r="S244">
        <v>166.3</v>
      </c>
      <c r="T244">
        <v>151.69999999999999</v>
      </c>
      <c r="U244">
        <v>146.69999999999999</v>
      </c>
      <c r="V244">
        <v>151</v>
      </c>
      <c r="W244">
        <v>153</v>
      </c>
      <c r="X244">
        <v>147.69999999999999</v>
      </c>
      <c r="Y244">
        <v>150.6</v>
      </c>
      <c r="Z244">
        <v>153.69999999999999</v>
      </c>
      <c r="AA244">
        <v>131.69999999999999</v>
      </c>
      <c r="AB244">
        <v>148.69999999999999</v>
      </c>
      <c r="AC244">
        <v>160.69999999999999</v>
      </c>
      <c r="AD244">
        <v>140.30000000000001</v>
      </c>
      <c r="AE244">
        <v>145.69999999999999</v>
      </c>
      <c r="AF244">
        <v>148.30000000000001</v>
      </c>
    </row>
    <row r="245" spans="2:32" x14ac:dyDescent="0.3">
      <c r="B245" t="s">
        <v>33</v>
      </c>
      <c r="C245">
        <v>2019</v>
      </c>
      <c r="D245" t="s">
        <v>43</v>
      </c>
      <c r="E245" s="40" t="s">
        <v>168</v>
      </c>
      <c r="F245">
        <v>143.5</v>
      </c>
      <c r="G245">
        <v>159.80000000000001</v>
      </c>
      <c r="H245">
        <v>144.69999999999999</v>
      </c>
      <c r="I245">
        <v>145.6</v>
      </c>
      <c r="J245">
        <v>121.1</v>
      </c>
      <c r="K245">
        <v>150.6</v>
      </c>
      <c r="L245">
        <v>207.2</v>
      </c>
      <c r="M245">
        <v>131.19999999999999</v>
      </c>
      <c r="N245">
        <v>114.8</v>
      </c>
      <c r="O245">
        <v>145.19999999999999</v>
      </c>
      <c r="P245">
        <v>130.19999999999999</v>
      </c>
      <c r="Q245">
        <v>156.80000000000001</v>
      </c>
      <c r="R245">
        <v>151.9</v>
      </c>
      <c r="S245">
        <v>169.3</v>
      </c>
      <c r="T245">
        <v>145.9</v>
      </c>
      <c r="U245">
        <v>132.4</v>
      </c>
      <c r="V245">
        <v>143.9</v>
      </c>
      <c r="W245">
        <v>153</v>
      </c>
      <c r="X245">
        <v>128.9</v>
      </c>
      <c r="Y245">
        <v>138.69999999999999</v>
      </c>
      <c r="Z245">
        <v>142.4</v>
      </c>
      <c r="AA245">
        <v>121.5</v>
      </c>
      <c r="AB245">
        <v>136.19999999999999</v>
      </c>
      <c r="AC245">
        <v>151.69999999999999</v>
      </c>
      <c r="AD245">
        <v>139.5</v>
      </c>
      <c r="AE245">
        <v>136</v>
      </c>
      <c r="AF245">
        <v>146</v>
      </c>
    </row>
    <row r="246" spans="2:32" x14ac:dyDescent="0.3">
      <c r="B246" t="s">
        <v>34</v>
      </c>
      <c r="C246">
        <v>2019</v>
      </c>
      <c r="D246" t="s">
        <v>43</v>
      </c>
      <c r="E246" s="40" t="s">
        <v>168</v>
      </c>
      <c r="F246">
        <v>141.80000000000001</v>
      </c>
      <c r="G246">
        <v>161</v>
      </c>
      <c r="H246">
        <v>142.6</v>
      </c>
      <c r="I246">
        <v>146.19999999999999</v>
      </c>
      <c r="J246">
        <v>123.9</v>
      </c>
      <c r="K246">
        <v>148</v>
      </c>
      <c r="L246">
        <v>188.4</v>
      </c>
      <c r="M246">
        <v>132.5</v>
      </c>
      <c r="N246">
        <v>114</v>
      </c>
      <c r="O246">
        <v>145.4</v>
      </c>
      <c r="P246">
        <v>135.1</v>
      </c>
      <c r="Q246">
        <v>157.1</v>
      </c>
      <c r="R246">
        <v>149.6</v>
      </c>
      <c r="S246">
        <v>167.1</v>
      </c>
      <c r="T246">
        <v>149.4</v>
      </c>
      <c r="U246">
        <v>140.80000000000001</v>
      </c>
      <c r="V246">
        <v>148.19999999999999</v>
      </c>
      <c r="W246">
        <v>153</v>
      </c>
      <c r="X246">
        <v>140.6</v>
      </c>
      <c r="Y246">
        <v>145</v>
      </c>
      <c r="Z246">
        <v>149.4</v>
      </c>
      <c r="AA246">
        <v>126.3</v>
      </c>
      <c r="AB246">
        <v>141.69999999999999</v>
      </c>
      <c r="AC246">
        <v>155.4</v>
      </c>
      <c r="AD246">
        <v>140</v>
      </c>
      <c r="AE246">
        <v>141</v>
      </c>
      <c r="AF246">
        <v>147.19999999999999</v>
      </c>
    </row>
    <row r="247" spans="2:32" x14ac:dyDescent="0.3">
      <c r="B247" t="s">
        <v>30</v>
      </c>
      <c r="C247">
        <v>2019</v>
      </c>
      <c r="D247" t="s">
        <v>45</v>
      </c>
      <c r="E247" s="40" t="s">
        <v>166</v>
      </c>
      <c r="F247">
        <v>141.80000000000001</v>
      </c>
      <c r="G247">
        <v>163.69999999999999</v>
      </c>
      <c r="H247">
        <v>143.80000000000001</v>
      </c>
      <c r="I247">
        <v>147.1</v>
      </c>
      <c r="J247">
        <v>126</v>
      </c>
      <c r="K247">
        <v>146.19999999999999</v>
      </c>
      <c r="L247">
        <v>191.4</v>
      </c>
      <c r="M247">
        <v>136.19999999999999</v>
      </c>
      <c r="N247">
        <v>113.8</v>
      </c>
      <c r="O247">
        <v>147.30000000000001</v>
      </c>
      <c r="P247">
        <v>138.69999999999999</v>
      </c>
      <c r="Q247">
        <v>157.69999999999999</v>
      </c>
      <c r="R247">
        <v>150.9</v>
      </c>
      <c r="S247">
        <v>167.2</v>
      </c>
      <c r="T247">
        <v>152.30000000000001</v>
      </c>
      <c r="U247">
        <v>147</v>
      </c>
      <c r="V247">
        <v>151.5</v>
      </c>
      <c r="W247">
        <v>153.5</v>
      </c>
      <c r="X247">
        <v>148.4</v>
      </c>
      <c r="Y247">
        <v>150.9</v>
      </c>
      <c r="Z247">
        <v>154.30000000000001</v>
      </c>
      <c r="AA247">
        <v>132.1</v>
      </c>
      <c r="AB247">
        <v>149.1</v>
      </c>
      <c r="AC247">
        <v>160.80000000000001</v>
      </c>
      <c r="AD247">
        <v>140.6</v>
      </c>
      <c r="AE247">
        <v>146.1</v>
      </c>
      <c r="AF247">
        <v>149.9</v>
      </c>
    </row>
    <row r="248" spans="2:32" x14ac:dyDescent="0.3">
      <c r="B248" t="s">
        <v>33</v>
      </c>
      <c r="C248">
        <v>2019</v>
      </c>
      <c r="D248" t="s">
        <v>45</v>
      </c>
      <c r="E248" s="40" t="s">
        <v>166</v>
      </c>
      <c r="F248">
        <v>144.1</v>
      </c>
      <c r="G248">
        <v>162.4</v>
      </c>
      <c r="H248">
        <v>148.4</v>
      </c>
      <c r="I248">
        <v>145.9</v>
      </c>
      <c r="J248">
        <v>121.5</v>
      </c>
      <c r="K248">
        <v>148.80000000000001</v>
      </c>
      <c r="L248">
        <v>215.7</v>
      </c>
      <c r="M248">
        <v>134.6</v>
      </c>
      <c r="N248">
        <v>115</v>
      </c>
      <c r="O248">
        <v>146.30000000000001</v>
      </c>
      <c r="P248">
        <v>130.5</v>
      </c>
      <c r="Q248">
        <v>157.19999999999999</v>
      </c>
      <c r="R248">
        <v>153.6</v>
      </c>
      <c r="S248">
        <v>169.9</v>
      </c>
      <c r="T248">
        <v>146.30000000000001</v>
      </c>
      <c r="U248">
        <v>132.6</v>
      </c>
      <c r="V248">
        <v>144.19999999999999</v>
      </c>
      <c r="W248">
        <v>153.5</v>
      </c>
      <c r="X248">
        <v>132.19999999999999</v>
      </c>
      <c r="Y248">
        <v>139.1</v>
      </c>
      <c r="Z248">
        <v>142.80000000000001</v>
      </c>
      <c r="AA248">
        <v>121.7</v>
      </c>
      <c r="AB248">
        <v>136.69999999999999</v>
      </c>
      <c r="AC248">
        <v>151.80000000000001</v>
      </c>
      <c r="AD248">
        <v>139.80000000000001</v>
      </c>
      <c r="AE248">
        <v>136.30000000000001</v>
      </c>
      <c r="AF248">
        <v>147</v>
      </c>
    </row>
    <row r="249" spans="2:32" x14ac:dyDescent="0.3">
      <c r="B249" t="s">
        <v>34</v>
      </c>
      <c r="C249">
        <v>2019</v>
      </c>
      <c r="D249" t="s">
        <v>45</v>
      </c>
      <c r="E249" s="40" t="s">
        <v>166</v>
      </c>
      <c r="F249">
        <v>142.5</v>
      </c>
      <c r="G249">
        <v>163.19999999999999</v>
      </c>
      <c r="H249">
        <v>145.6</v>
      </c>
      <c r="I249">
        <v>146.69999999999999</v>
      </c>
      <c r="J249">
        <v>124.3</v>
      </c>
      <c r="K249">
        <v>147.4</v>
      </c>
      <c r="L249">
        <v>199.6</v>
      </c>
      <c r="M249">
        <v>135.69999999999999</v>
      </c>
      <c r="N249">
        <v>114.2</v>
      </c>
      <c r="O249">
        <v>147</v>
      </c>
      <c r="P249">
        <v>135.30000000000001</v>
      </c>
      <c r="Q249">
        <v>157.5</v>
      </c>
      <c r="R249">
        <v>151.9</v>
      </c>
      <c r="S249">
        <v>167.9</v>
      </c>
      <c r="T249">
        <v>149.9</v>
      </c>
      <c r="U249">
        <v>141</v>
      </c>
      <c r="V249">
        <v>148.6</v>
      </c>
      <c r="W249">
        <v>153.5</v>
      </c>
      <c r="X249">
        <v>142.30000000000001</v>
      </c>
      <c r="Y249">
        <v>145.30000000000001</v>
      </c>
      <c r="Z249">
        <v>149.9</v>
      </c>
      <c r="AA249">
        <v>126.6</v>
      </c>
      <c r="AB249">
        <v>142.1</v>
      </c>
      <c r="AC249">
        <v>155.5</v>
      </c>
      <c r="AD249">
        <v>140.30000000000001</v>
      </c>
      <c r="AE249">
        <v>141.30000000000001</v>
      </c>
      <c r="AF249">
        <v>148.6</v>
      </c>
    </row>
    <row r="250" spans="2:32" x14ac:dyDescent="0.3">
      <c r="B250" t="s">
        <v>30</v>
      </c>
      <c r="C250">
        <v>2019</v>
      </c>
      <c r="D250" t="s">
        <v>46</v>
      </c>
      <c r="E250" s="40" t="s">
        <v>153</v>
      </c>
      <c r="F250">
        <v>142.80000000000001</v>
      </c>
      <c r="G250">
        <v>165.3</v>
      </c>
      <c r="H250">
        <v>149.5</v>
      </c>
      <c r="I250">
        <v>148.69999999999999</v>
      </c>
      <c r="J250">
        <v>127.5</v>
      </c>
      <c r="K250">
        <v>144.30000000000001</v>
      </c>
      <c r="L250">
        <v>209.5</v>
      </c>
      <c r="M250">
        <v>138.80000000000001</v>
      </c>
      <c r="N250">
        <v>113.6</v>
      </c>
      <c r="O250">
        <v>149.1</v>
      </c>
      <c r="P250">
        <v>139.30000000000001</v>
      </c>
      <c r="Q250">
        <v>158.30000000000001</v>
      </c>
      <c r="R250">
        <v>154.30000000000001</v>
      </c>
      <c r="S250">
        <v>167.8</v>
      </c>
      <c r="T250">
        <v>152.6</v>
      </c>
      <c r="U250">
        <v>147.30000000000001</v>
      </c>
      <c r="V250">
        <v>151.9</v>
      </c>
      <c r="W250">
        <v>152.80000000000001</v>
      </c>
      <c r="X250">
        <v>149.9</v>
      </c>
      <c r="Y250">
        <v>151.19999999999999</v>
      </c>
      <c r="Z250">
        <v>154.80000000000001</v>
      </c>
      <c r="AA250">
        <v>135</v>
      </c>
      <c r="AB250">
        <v>149.5</v>
      </c>
      <c r="AC250">
        <v>161.1</v>
      </c>
      <c r="AD250">
        <v>140.6</v>
      </c>
      <c r="AE250">
        <v>147.1</v>
      </c>
      <c r="AF250">
        <v>152.30000000000001</v>
      </c>
    </row>
    <row r="251" spans="2:32" x14ac:dyDescent="0.3">
      <c r="B251" t="s">
        <v>33</v>
      </c>
      <c r="C251">
        <v>2019</v>
      </c>
      <c r="D251" t="s">
        <v>46</v>
      </c>
      <c r="E251" s="40" t="s">
        <v>153</v>
      </c>
      <c r="F251">
        <v>144.9</v>
      </c>
      <c r="G251">
        <v>164.5</v>
      </c>
      <c r="H251">
        <v>153.69999999999999</v>
      </c>
      <c r="I251">
        <v>147.5</v>
      </c>
      <c r="J251">
        <v>122.7</v>
      </c>
      <c r="K251">
        <v>147.19999999999999</v>
      </c>
      <c r="L251">
        <v>231.5</v>
      </c>
      <c r="M251">
        <v>137.19999999999999</v>
      </c>
      <c r="N251">
        <v>114.7</v>
      </c>
      <c r="O251">
        <v>148</v>
      </c>
      <c r="P251">
        <v>130.80000000000001</v>
      </c>
      <c r="Q251">
        <v>157.69999999999999</v>
      </c>
      <c r="R251">
        <v>156.30000000000001</v>
      </c>
      <c r="S251">
        <v>170.4</v>
      </c>
      <c r="T251">
        <v>146.80000000000001</v>
      </c>
      <c r="U251">
        <v>132.80000000000001</v>
      </c>
      <c r="V251">
        <v>144.6</v>
      </c>
      <c r="W251">
        <v>152.80000000000001</v>
      </c>
      <c r="X251">
        <v>133.6</v>
      </c>
      <c r="Y251">
        <v>139.80000000000001</v>
      </c>
      <c r="Z251">
        <v>143.19999999999999</v>
      </c>
      <c r="AA251">
        <v>125.2</v>
      </c>
      <c r="AB251">
        <v>136.80000000000001</v>
      </c>
      <c r="AC251">
        <v>151.9</v>
      </c>
      <c r="AD251">
        <v>140.19999999999999</v>
      </c>
      <c r="AE251">
        <v>137.69999999999999</v>
      </c>
      <c r="AF251">
        <v>148.30000000000001</v>
      </c>
    </row>
    <row r="252" spans="2:32" x14ac:dyDescent="0.3">
      <c r="B252" t="s">
        <v>34</v>
      </c>
      <c r="C252">
        <v>2019</v>
      </c>
      <c r="D252" t="s">
        <v>46</v>
      </c>
      <c r="E252" s="40" t="s">
        <v>153</v>
      </c>
      <c r="F252">
        <v>143.5</v>
      </c>
      <c r="G252">
        <v>165</v>
      </c>
      <c r="H252">
        <v>151.1</v>
      </c>
      <c r="I252">
        <v>148.30000000000001</v>
      </c>
      <c r="J252">
        <v>125.7</v>
      </c>
      <c r="K252">
        <v>145.69999999999999</v>
      </c>
      <c r="L252">
        <v>217</v>
      </c>
      <c r="M252">
        <v>138.30000000000001</v>
      </c>
      <c r="N252">
        <v>114</v>
      </c>
      <c r="O252">
        <v>148.69999999999999</v>
      </c>
      <c r="P252">
        <v>135.80000000000001</v>
      </c>
      <c r="Q252">
        <v>158</v>
      </c>
      <c r="R252">
        <v>155</v>
      </c>
      <c r="S252">
        <v>168.5</v>
      </c>
      <c r="T252">
        <v>150.30000000000001</v>
      </c>
      <c r="U252">
        <v>141.30000000000001</v>
      </c>
      <c r="V252">
        <v>149</v>
      </c>
      <c r="W252">
        <v>152.80000000000001</v>
      </c>
      <c r="X252">
        <v>143.69999999999999</v>
      </c>
      <c r="Y252">
        <v>145.80000000000001</v>
      </c>
      <c r="Z252">
        <v>150.4</v>
      </c>
      <c r="AA252">
        <v>129.80000000000001</v>
      </c>
      <c r="AB252">
        <v>142.30000000000001</v>
      </c>
      <c r="AC252">
        <v>155.69999999999999</v>
      </c>
      <c r="AD252">
        <v>140.4</v>
      </c>
      <c r="AE252">
        <v>142.5</v>
      </c>
      <c r="AF252">
        <v>150.4</v>
      </c>
    </row>
    <row r="253" spans="2:32" x14ac:dyDescent="0.3">
      <c r="B253" t="s">
        <v>30</v>
      </c>
      <c r="C253">
        <v>2020</v>
      </c>
      <c r="D253" t="s">
        <v>31</v>
      </c>
      <c r="E253" s="40" t="s">
        <v>158</v>
      </c>
      <c r="F253">
        <v>143.69999999999999</v>
      </c>
      <c r="G253">
        <v>167.3</v>
      </c>
      <c r="H253">
        <v>153.5</v>
      </c>
      <c r="I253">
        <v>150.5</v>
      </c>
      <c r="J253">
        <v>132</v>
      </c>
      <c r="K253">
        <v>142.19999999999999</v>
      </c>
      <c r="L253">
        <v>191.5</v>
      </c>
      <c r="M253">
        <v>141.1</v>
      </c>
      <c r="N253">
        <v>113.8</v>
      </c>
      <c r="O253">
        <v>151.6</v>
      </c>
      <c r="P253">
        <v>139.69999999999999</v>
      </c>
      <c r="Q253">
        <v>158.69999999999999</v>
      </c>
      <c r="R253">
        <v>153</v>
      </c>
      <c r="S253">
        <v>168.6</v>
      </c>
      <c r="T253">
        <v>152.80000000000001</v>
      </c>
      <c r="U253">
        <v>147.4</v>
      </c>
      <c r="V253">
        <v>152.1</v>
      </c>
      <c r="W253">
        <v>153.9</v>
      </c>
      <c r="X253">
        <v>150.4</v>
      </c>
      <c r="Y253">
        <v>151.69999999999999</v>
      </c>
      <c r="Z253">
        <v>155.69999999999999</v>
      </c>
      <c r="AA253">
        <v>136.30000000000001</v>
      </c>
      <c r="AB253">
        <v>150.1</v>
      </c>
      <c r="AC253">
        <v>161.69999999999999</v>
      </c>
      <c r="AD253">
        <v>142.5</v>
      </c>
      <c r="AE253">
        <v>148.1</v>
      </c>
      <c r="AF253">
        <v>151.9</v>
      </c>
    </row>
    <row r="254" spans="2:32" x14ac:dyDescent="0.3">
      <c r="B254" t="s">
        <v>33</v>
      </c>
      <c r="C254">
        <v>2020</v>
      </c>
      <c r="D254" t="s">
        <v>31</v>
      </c>
      <c r="E254" s="40" t="s">
        <v>158</v>
      </c>
      <c r="F254">
        <v>145.6</v>
      </c>
      <c r="G254">
        <v>167.6</v>
      </c>
      <c r="H254">
        <v>157</v>
      </c>
      <c r="I254">
        <v>149.30000000000001</v>
      </c>
      <c r="J254">
        <v>126.3</v>
      </c>
      <c r="K254">
        <v>144.4</v>
      </c>
      <c r="L254">
        <v>207.8</v>
      </c>
      <c r="M254">
        <v>139.1</v>
      </c>
      <c r="N254">
        <v>114.8</v>
      </c>
      <c r="O254">
        <v>149.5</v>
      </c>
      <c r="P254">
        <v>131.1</v>
      </c>
      <c r="Q254">
        <v>158.5</v>
      </c>
      <c r="R254">
        <v>154.4</v>
      </c>
      <c r="S254">
        <v>170.8</v>
      </c>
      <c r="T254">
        <v>147</v>
      </c>
      <c r="U254">
        <v>133.19999999999999</v>
      </c>
      <c r="V254">
        <v>144.9</v>
      </c>
      <c r="W254">
        <v>153.9</v>
      </c>
      <c r="X254">
        <v>135.1</v>
      </c>
      <c r="Y254">
        <v>140.1</v>
      </c>
      <c r="Z254">
        <v>143.80000000000001</v>
      </c>
      <c r="AA254">
        <v>126.1</v>
      </c>
      <c r="AB254">
        <v>137.19999999999999</v>
      </c>
      <c r="AC254">
        <v>152.1</v>
      </c>
      <c r="AD254">
        <v>142.1</v>
      </c>
      <c r="AE254">
        <v>138.4</v>
      </c>
      <c r="AF254">
        <v>148.19999999999999</v>
      </c>
    </row>
    <row r="255" spans="2:32" x14ac:dyDescent="0.3">
      <c r="B255" t="s">
        <v>34</v>
      </c>
      <c r="C255">
        <v>2020</v>
      </c>
      <c r="D255" t="s">
        <v>31</v>
      </c>
      <c r="E255" s="40" t="s">
        <v>158</v>
      </c>
      <c r="F255">
        <v>144.30000000000001</v>
      </c>
      <c r="G255">
        <v>167.4</v>
      </c>
      <c r="H255">
        <v>154.9</v>
      </c>
      <c r="I255">
        <v>150.1</v>
      </c>
      <c r="J255">
        <v>129.9</v>
      </c>
      <c r="K255">
        <v>143.19999999999999</v>
      </c>
      <c r="L255">
        <v>197</v>
      </c>
      <c r="M255">
        <v>140.4</v>
      </c>
      <c r="N255">
        <v>114.1</v>
      </c>
      <c r="O255">
        <v>150.9</v>
      </c>
      <c r="P255">
        <v>136.1</v>
      </c>
      <c r="Q255">
        <v>158.6</v>
      </c>
      <c r="R255">
        <v>153.5</v>
      </c>
      <c r="S255">
        <v>169.2</v>
      </c>
      <c r="T255">
        <v>150.5</v>
      </c>
      <c r="U255">
        <v>141.5</v>
      </c>
      <c r="V255">
        <v>149.19999999999999</v>
      </c>
      <c r="W255">
        <v>153.9</v>
      </c>
      <c r="X255">
        <v>144.6</v>
      </c>
      <c r="Y255">
        <v>146.19999999999999</v>
      </c>
      <c r="Z255">
        <v>151.19999999999999</v>
      </c>
      <c r="AA255">
        <v>130.9</v>
      </c>
      <c r="AB255">
        <v>142.80000000000001</v>
      </c>
      <c r="AC255">
        <v>156.1</v>
      </c>
      <c r="AD255">
        <v>142.30000000000001</v>
      </c>
      <c r="AE255">
        <v>143.4</v>
      </c>
      <c r="AF255">
        <v>150.19999999999999</v>
      </c>
    </row>
    <row r="256" spans="2:32" x14ac:dyDescent="0.3">
      <c r="B256" t="s">
        <v>30</v>
      </c>
      <c r="C256">
        <v>2020</v>
      </c>
      <c r="D256" t="s">
        <v>35</v>
      </c>
      <c r="E256" s="40" t="s">
        <v>156</v>
      </c>
      <c r="F256">
        <v>144.19999999999999</v>
      </c>
      <c r="G256">
        <v>167.5</v>
      </c>
      <c r="H256">
        <v>150.9</v>
      </c>
      <c r="I256">
        <v>150.9</v>
      </c>
      <c r="J256">
        <v>133.69999999999999</v>
      </c>
      <c r="K256">
        <v>140.69999999999999</v>
      </c>
      <c r="L256">
        <v>165.1</v>
      </c>
      <c r="M256">
        <v>141.80000000000001</v>
      </c>
      <c r="N256">
        <v>113.1</v>
      </c>
      <c r="O256">
        <v>152.80000000000001</v>
      </c>
      <c r="P256">
        <v>140.1</v>
      </c>
      <c r="Q256">
        <v>159.19999999999999</v>
      </c>
      <c r="R256">
        <v>149.80000000000001</v>
      </c>
      <c r="S256">
        <v>169.4</v>
      </c>
      <c r="T256">
        <v>153</v>
      </c>
      <c r="U256">
        <v>147.5</v>
      </c>
      <c r="V256">
        <v>152.30000000000001</v>
      </c>
      <c r="W256">
        <v>154.80000000000001</v>
      </c>
      <c r="X256">
        <v>152.30000000000001</v>
      </c>
      <c r="Y256">
        <v>151.80000000000001</v>
      </c>
      <c r="Z256">
        <v>156.19999999999999</v>
      </c>
      <c r="AA256">
        <v>136</v>
      </c>
      <c r="AB256">
        <v>150.4</v>
      </c>
      <c r="AC256">
        <v>161.9</v>
      </c>
      <c r="AD256">
        <v>143.4</v>
      </c>
      <c r="AE256">
        <v>148.4</v>
      </c>
      <c r="AF256">
        <v>150.4</v>
      </c>
    </row>
    <row r="257" spans="2:32" x14ac:dyDescent="0.3">
      <c r="B257" t="s">
        <v>33</v>
      </c>
      <c r="C257">
        <v>2020</v>
      </c>
      <c r="D257" t="s">
        <v>35</v>
      </c>
      <c r="E257" s="40" t="s">
        <v>156</v>
      </c>
      <c r="F257">
        <v>146.19999999999999</v>
      </c>
      <c r="G257">
        <v>167.6</v>
      </c>
      <c r="H257">
        <v>153.1</v>
      </c>
      <c r="I257">
        <v>150.69999999999999</v>
      </c>
      <c r="J257">
        <v>127.4</v>
      </c>
      <c r="K257">
        <v>143.1</v>
      </c>
      <c r="L257">
        <v>181.7</v>
      </c>
      <c r="M257">
        <v>139.6</v>
      </c>
      <c r="N257">
        <v>114.6</v>
      </c>
      <c r="O257">
        <v>150.4</v>
      </c>
      <c r="P257">
        <v>131.5</v>
      </c>
      <c r="Q257">
        <v>159</v>
      </c>
      <c r="R257">
        <v>151.69999999999999</v>
      </c>
      <c r="S257">
        <v>172</v>
      </c>
      <c r="T257">
        <v>147.30000000000001</v>
      </c>
      <c r="U257">
        <v>133.5</v>
      </c>
      <c r="V257">
        <v>145.19999999999999</v>
      </c>
      <c r="W257">
        <v>154.80000000000001</v>
      </c>
      <c r="X257">
        <v>138.9</v>
      </c>
      <c r="Y257">
        <v>140.4</v>
      </c>
      <c r="Z257">
        <v>144.4</v>
      </c>
      <c r="AA257">
        <v>125.2</v>
      </c>
      <c r="AB257">
        <v>137.69999999999999</v>
      </c>
      <c r="AC257">
        <v>152.19999999999999</v>
      </c>
      <c r="AD257">
        <v>143.5</v>
      </c>
      <c r="AE257">
        <v>138.4</v>
      </c>
      <c r="AF257">
        <v>147.69999999999999</v>
      </c>
    </row>
    <row r="258" spans="2:32" x14ac:dyDescent="0.3">
      <c r="B258" t="s">
        <v>34</v>
      </c>
      <c r="C258">
        <v>2020</v>
      </c>
      <c r="D258" t="s">
        <v>35</v>
      </c>
      <c r="E258" s="40" t="s">
        <v>156</v>
      </c>
      <c r="F258">
        <v>144.80000000000001</v>
      </c>
      <c r="G258">
        <v>167.5</v>
      </c>
      <c r="H258">
        <v>151.80000000000001</v>
      </c>
      <c r="I258">
        <v>150.80000000000001</v>
      </c>
      <c r="J258">
        <v>131.4</v>
      </c>
      <c r="K258">
        <v>141.80000000000001</v>
      </c>
      <c r="L258">
        <v>170.7</v>
      </c>
      <c r="M258">
        <v>141.1</v>
      </c>
      <c r="N258">
        <v>113.6</v>
      </c>
      <c r="O258">
        <v>152</v>
      </c>
      <c r="P258">
        <v>136.5</v>
      </c>
      <c r="Q258">
        <v>159.1</v>
      </c>
      <c r="R258">
        <v>150.5</v>
      </c>
      <c r="S258">
        <v>170.1</v>
      </c>
      <c r="T258">
        <v>150.80000000000001</v>
      </c>
      <c r="U258">
        <v>141.69999999999999</v>
      </c>
      <c r="V258">
        <v>149.5</v>
      </c>
      <c r="W258">
        <v>154.80000000000001</v>
      </c>
      <c r="X258">
        <v>147.19999999999999</v>
      </c>
      <c r="Y258">
        <v>146.4</v>
      </c>
      <c r="Z258">
        <v>151.69999999999999</v>
      </c>
      <c r="AA258">
        <v>130.30000000000001</v>
      </c>
      <c r="AB258">
        <v>143.19999999999999</v>
      </c>
      <c r="AC258">
        <v>156.19999999999999</v>
      </c>
      <c r="AD258">
        <v>143.4</v>
      </c>
      <c r="AE258">
        <v>143.6</v>
      </c>
      <c r="AF258">
        <v>149.1</v>
      </c>
    </row>
    <row r="259" spans="2:32" x14ac:dyDescent="0.3">
      <c r="B259" t="s">
        <v>30</v>
      </c>
      <c r="C259">
        <v>2020</v>
      </c>
      <c r="D259" t="s">
        <v>36</v>
      </c>
      <c r="E259" s="40" t="s">
        <v>164</v>
      </c>
      <c r="F259">
        <v>144.4</v>
      </c>
      <c r="G259">
        <v>166.8</v>
      </c>
      <c r="H259">
        <v>147.6</v>
      </c>
      <c r="I259">
        <v>151.69999999999999</v>
      </c>
      <c r="J259">
        <v>133.30000000000001</v>
      </c>
      <c r="K259">
        <v>141.80000000000001</v>
      </c>
      <c r="L259">
        <v>152.30000000000001</v>
      </c>
      <c r="M259">
        <v>141.80000000000001</v>
      </c>
      <c r="N259">
        <v>112.6</v>
      </c>
      <c r="O259">
        <v>154</v>
      </c>
      <c r="P259">
        <v>140.1</v>
      </c>
      <c r="Q259">
        <v>160</v>
      </c>
      <c r="R259">
        <v>148.19999999999999</v>
      </c>
      <c r="S259">
        <v>170.5</v>
      </c>
      <c r="T259">
        <v>153.4</v>
      </c>
      <c r="U259">
        <v>147.6</v>
      </c>
      <c r="V259">
        <v>152.5</v>
      </c>
      <c r="W259">
        <v>154.5</v>
      </c>
      <c r="X259">
        <v>153.4</v>
      </c>
      <c r="Y259">
        <v>151.5</v>
      </c>
      <c r="Z259">
        <v>156.69999999999999</v>
      </c>
      <c r="AA259">
        <v>135.80000000000001</v>
      </c>
      <c r="AB259">
        <v>151.19999999999999</v>
      </c>
      <c r="AC259">
        <v>161.19999999999999</v>
      </c>
      <c r="AD259">
        <v>145.1</v>
      </c>
      <c r="AE259">
        <v>148.6</v>
      </c>
      <c r="AF259">
        <v>149.80000000000001</v>
      </c>
    </row>
    <row r="260" spans="2:32" x14ac:dyDescent="0.3">
      <c r="B260" t="s">
        <v>33</v>
      </c>
      <c r="C260">
        <v>2020</v>
      </c>
      <c r="D260" t="s">
        <v>36</v>
      </c>
      <c r="E260" s="40" t="s">
        <v>164</v>
      </c>
      <c r="F260">
        <v>146.5</v>
      </c>
      <c r="G260">
        <v>167.5</v>
      </c>
      <c r="H260">
        <v>148.9</v>
      </c>
      <c r="I260">
        <v>151.1</v>
      </c>
      <c r="J260">
        <v>127.5</v>
      </c>
      <c r="K260">
        <v>143.30000000000001</v>
      </c>
      <c r="L260">
        <v>167</v>
      </c>
      <c r="M260">
        <v>139.69999999999999</v>
      </c>
      <c r="N260">
        <v>114.4</v>
      </c>
      <c r="O260">
        <v>151.5</v>
      </c>
      <c r="P260">
        <v>131.9</v>
      </c>
      <c r="Q260">
        <v>159.1</v>
      </c>
      <c r="R260">
        <v>150.1</v>
      </c>
      <c r="S260">
        <v>173.3</v>
      </c>
      <c r="T260">
        <v>147.69999999999999</v>
      </c>
      <c r="U260">
        <v>133.80000000000001</v>
      </c>
      <c r="V260">
        <v>145.6</v>
      </c>
      <c r="W260">
        <v>154.5</v>
      </c>
      <c r="X260">
        <v>141.4</v>
      </c>
      <c r="Y260">
        <v>140.80000000000001</v>
      </c>
      <c r="Z260">
        <v>145</v>
      </c>
      <c r="AA260">
        <v>124.6</v>
      </c>
      <c r="AB260">
        <v>137.9</v>
      </c>
      <c r="AC260">
        <v>152.5</v>
      </c>
      <c r="AD260">
        <v>145.30000000000001</v>
      </c>
      <c r="AE260">
        <v>138.69999999999999</v>
      </c>
      <c r="AF260">
        <v>147.30000000000001</v>
      </c>
    </row>
    <row r="261" spans="2:32" x14ac:dyDescent="0.3">
      <c r="B261" t="s">
        <v>34</v>
      </c>
      <c r="C261">
        <v>2020</v>
      </c>
      <c r="D261" t="s">
        <v>36</v>
      </c>
      <c r="E261" s="40" t="s">
        <v>164</v>
      </c>
      <c r="F261">
        <v>145.1</v>
      </c>
      <c r="G261">
        <v>167</v>
      </c>
      <c r="H261">
        <v>148.1</v>
      </c>
      <c r="I261">
        <v>151.5</v>
      </c>
      <c r="J261">
        <v>131.19999999999999</v>
      </c>
      <c r="K261">
        <v>142.5</v>
      </c>
      <c r="L261">
        <v>157.30000000000001</v>
      </c>
      <c r="M261">
        <v>141.1</v>
      </c>
      <c r="N261">
        <v>113.2</v>
      </c>
      <c r="O261">
        <v>153.19999999999999</v>
      </c>
      <c r="P261">
        <v>136.69999999999999</v>
      </c>
      <c r="Q261">
        <v>159.6</v>
      </c>
      <c r="R261">
        <v>148.9</v>
      </c>
      <c r="S261">
        <v>171.2</v>
      </c>
      <c r="T261">
        <v>151.19999999999999</v>
      </c>
      <c r="U261">
        <v>141.9</v>
      </c>
      <c r="V261">
        <v>149.80000000000001</v>
      </c>
      <c r="W261">
        <v>154.5</v>
      </c>
      <c r="X261">
        <v>148.9</v>
      </c>
      <c r="Y261">
        <v>146.4</v>
      </c>
      <c r="Z261">
        <v>152.30000000000001</v>
      </c>
      <c r="AA261">
        <v>129.9</v>
      </c>
      <c r="AB261">
        <v>143.69999999999999</v>
      </c>
      <c r="AC261">
        <v>156.1</v>
      </c>
      <c r="AD261">
        <v>145.19999999999999</v>
      </c>
      <c r="AE261">
        <v>143.80000000000001</v>
      </c>
      <c r="AF261">
        <v>148.6</v>
      </c>
    </row>
    <row r="262" spans="2:32" x14ac:dyDescent="0.3">
      <c r="B262" t="s">
        <v>30</v>
      </c>
      <c r="C262">
        <v>2020</v>
      </c>
      <c r="D262" t="s">
        <v>37</v>
      </c>
      <c r="E262" s="40" t="s">
        <v>150</v>
      </c>
      <c r="F262">
        <v>147.19999999999999</v>
      </c>
      <c r="G262">
        <f>AVERAGE(G259,G265)</f>
        <v>178.55</v>
      </c>
      <c r="H262">
        <v>146.9</v>
      </c>
      <c r="I262">
        <v>155.6</v>
      </c>
      <c r="J262">
        <v>137.1</v>
      </c>
      <c r="K262">
        <v>147.30000000000001</v>
      </c>
      <c r="L262">
        <v>162.69999999999999</v>
      </c>
      <c r="M262">
        <v>150.19999999999999</v>
      </c>
      <c r="N262">
        <v>119.8</v>
      </c>
      <c r="O262">
        <v>158.69999999999999</v>
      </c>
      <c r="P262">
        <v>139.19999999999999</v>
      </c>
      <c r="Q262">
        <f>AVERAGE(Q259,Q265)</f>
        <v>160.9</v>
      </c>
      <c r="R262">
        <v>150.1</v>
      </c>
      <c r="S262">
        <f>AVERAGE(S259,S265)</f>
        <v>176.45</v>
      </c>
      <c r="T262">
        <f>AVERAGE(T259,T265)</f>
        <v>154.05000000000001</v>
      </c>
      <c r="U262">
        <f>AVERAGE(U259,U265)</f>
        <v>148.80000000000001</v>
      </c>
      <c r="V262">
        <f>AVERAGE(V259,V265)</f>
        <v>153.30000000000001</v>
      </c>
      <c r="W262">
        <v>155.6</v>
      </c>
      <c r="X262">
        <v>148.4</v>
      </c>
      <c r="Y262">
        <f>AVERAGE(Y259,Y265)</f>
        <v>151.6</v>
      </c>
      <c r="Z262">
        <v>154.30000000000001</v>
      </c>
      <c r="AA262">
        <f>AVERAGE(AA259,AA265)</f>
        <v>138.60000000000002</v>
      </c>
      <c r="AB262">
        <f>AVERAGE(AB259,AB265)</f>
        <v>152.19999999999999</v>
      </c>
      <c r="AC262">
        <f t="shared" ref="AC262:AF262" si="0">AVERAGE(AC259,AC265)</f>
        <v>161.5</v>
      </c>
      <c r="AD262">
        <f t="shared" si="0"/>
        <v>148.14999999999998</v>
      </c>
      <c r="AE262">
        <f t="shared" si="0"/>
        <v>150.14999999999998</v>
      </c>
      <c r="AF262">
        <f t="shared" si="0"/>
        <v>151.25</v>
      </c>
    </row>
    <row r="263" spans="2:32" x14ac:dyDescent="0.3">
      <c r="B263" t="s">
        <v>33</v>
      </c>
      <c r="C263">
        <v>2020</v>
      </c>
      <c r="D263" t="s">
        <v>37</v>
      </c>
      <c r="E263" s="40" t="s">
        <v>150</v>
      </c>
      <c r="F263">
        <v>151.80000000000001</v>
      </c>
      <c r="G263">
        <f>AVERAGE(G260,G266)</f>
        <v>182.25</v>
      </c>
      <c r="H263">
        <v>151.9</v>
      </c>
      <c r="I263">
        <v>155.5</v>
      </c>
      <c r="J263">
        <v>131.6</v>
      </c>
      <c r="K263">
        <v>152.9</v>
      </c>
      <c r="L263">
        <v>180</v>
      </c>
      <c r="M263">
        <v>150.80000000000001</v>
      </c>
      <c r="N263">
        <v>121.2</v>
      </c>
      <c r="O263">
        <v>154</v>
      </c>
      <c r="P263">
        <v>133.5</v>
      </c>
      <c r="Q263">
        <f t="shared" ref="Q263:Q264" si="1">AVERAGE(Q260,Q266)</f>
        <v>160.39999999999998</v>
      </c>
      <c r="R263">
        <v>153.5</v>
      </c>
      <c r="S263">
        <f t="shared" ref="S263:V264" si="2">AVERAGE(S260,S266)</f>
        <v>180</v>
      </c>
      <c r="T263">
        <f t="shared" si="2"/>
        <v>148.39999999999998</v>
      </c>
      <c r="U263">
        <f t="shared" si="2"/>
        <v>135.19999999999999</v>
      </c>
      <c r="V263">
        <f t="shared" si="2"/>
        <v>146.39999999999998</v>
      </c>
      <c r="W263">
        <v>155.6</v>
      </c>
      <c r="X263">
        <v>137.1</v>
      </c>
      <c r="Y263">
        <f>AVERAGE(Y260,Y266)</f>
        <v>140.60000000000002</v>
      </c>
      <c r="Z263">
        <v>144.80000000000001</v>
      </c>
      <c r="AA263">
        <f t="shared" ref="AA263:AF264" si="3">AVERAGE(AA260,AA266)</f>
        <v>126.95</v>
      </c>
      <c r="AB263">
        <f t="shared" si="3"/>
        <v>141.19999999999999</v>
      </c>
      <c r="AC263">
        <f t="shared" si="3"/>
        <v>152.5</v>
      </c>
      <c r="AD263">
        <f>AVERAGE(AD260,AD266)</f>
        <v>148.75</v>
      </c>
      <c r="AE263">
        <f t="shared" si="3"/>
        <v>140.35</v>
      </c>
      <c r="AF263">
        <f t="shared" si="3"/>
        <v>149.05000000000001</v>
      </c>
    </row>
    <row r="264" spans="2:32" x14ac:dyDescent="0.3">
      <c r="B264" t="s">
        <v>34</v>
      </c>
      <c r="C264">
        <v>2020</v>
      </c>
      <c r="D264" t="s">
        <v>37</v>
      </c>
      <c r="E264" s="40" t="s">
        <v>150</v>
      </c>
      <c r="F264">
        <v>148.69999999999999</v>
      </c>
      <c r="G264">
        <f>AVERAGE(G261,G267)</f>
        <v>179.85</v>
      </c>
      <c r="H264">
        <v>148.80000000000001</v>
      </c>
      <c r="I264">
        <v>155.6</v>
      </c>
      <c r="J264">
        <v>135.1</v>
      </c>
      <c r="K264">
        <v>149.9</v>
      </c>
      <c r="L264">
        <v>168.6</v>
      </c>
      <c r="M264">
        <v>150.4</v>
      </c>
      <c r="N264">
        <v>120.3</v>
      </c>
      <c r="O264">
        <v>157.1</v>
      </c>
      <c r="P264">
        <v>136.80000000000001</v>
      </c>
      <c r="Q264">
        <f t="shared" si="1"/>
        <v>160.69999999999999</v>
      </c>
      <c r="R264">
        <v>151.4</v>
      </c>
      <c r="S264">
        <f t="shared" si="2"/>
        <v>177.35</v>
      </c>
      <c r="T264">
        <f t="shared" si="2"/>
        <v>151.85</v>
      </c>
      <c r="U264">
        <f t="shared" si="2"/>
        <v>143.15</v>
      </c>
      <c r="V264">
        <f t="shared" si="2"/>
        <v>150.60000000000002</v>
      </c>
      <c r="W264">
        <v>155.6</v>
      </c>
      <c r="X264">
        <v>144.1</v>
      </c>
      <c r="Y264">
        <f t="shared" ref="Y264" si="4">AVERAGE(Y261,Y267)</f>
        <v>146.4</v>
      </c>
      <c r="Z264">
        <v>150.69999999999999</v>
      </c>
      <c r="AA264">
        <f t="shared" si="3"/>
        <v>132.44999999999999</v>
      </c>
      <c r="AB264">
        <f t="shared" si="3"/>
        <v>146</v>
      </c>
      <c r="AC264">
        <f>AVERAGE(AC261,AC267)</f>
        <v>156.25</v>
      </c>
      <c r="AD264">
        <f t="shared" si="3"/>
        <v>148.39999999999998</v>
      </c>
      <c r="AE264">
        <f t="shared" si="3"/>
        <v>145.4</v>
      </c>
      <c r="AF264">
        <f t="shared" si="3"/>
        <v>150.19999999999999</v>
      </c>
    </row>
    <row r="265" spans="2:32" x14ac:dyDescent="0.3">
      <c r="B265" t="s">
        <v>30</v>
      </c>
      <c r="C265">
        <v>2020</v>
      </c>
      <c r="D265" t="s">
        <v>39</v>
      </c>
      <c r="E265" s="40" t="s">
        <v>162</v>
      </c>
      <c r="F265">
        <v>148.19999999999999</v>
      </c>
      <c r="G265">
        <v>190.3</v>
      </c>
      <c r="H265">
        <v>149.4</v>
      </c>
      <c r="I265">
        <v>153.30000000000001</v>
      </c>
      <c r="J265">
        <v>138.19999999999999</v>
      </c>
      <c r="K265">
        <v>143.19999999999999</v>
      </c>
      <c r="L265">
        <v>148.9</v>
      </c>
      <c r="M265">
        <v>150.30000000000001</v>
      </c>
      <c r="N265">
        <v>113.2</v>
      </c>
      <c r="O265">
        <v>159.80000000000001</v>
      </c>
      <c r="P265">
        <v>142.1</v>
      </c>
      <c r="Q265">
        <v>161.80000000000001</v>
      </c>
      <c r="R265">
        <v>152.30000000000001</v>
      </c>
      <c r="S265">
        <v>182.4</v>
      </c>
      <c r="T265">
        <v>154.69999999999999</v>
      </c>
      <c r="U265">
        <v>150</v>
      </c>
      <c r="V265">
        <v>154.1</v>
      </c>
      <c r="W265">
        <v>154.69999999999999</v>
      </c>
      <c r="X265">
        <v>144.9</v>
      </c>
      <c r="Y265">
        <v>151.69999999999999</v>
      </c>
      <c r="Z265">
        <v>158.19999999999999</v>
      </c>
      <c r="AA265">
        <v>141.4</v>
      </c>
      <c r="AB265">
        <v>153.19999999999999</v>
      </c>
      <c r="AC265">
        <v>161.80000000000001</v>
      </c>
      <c r="AD265">
        <v>151.19999999999999</v>
      </c>
      <c r="AE265">
        <v>151.69999999999999</v>
      </c>
      <c r="AF265">
        <v>152.69999999999999</v>
      </c>
    </row>
    <row r="266" spans="2:32" x14ac:dyDescent="0.3">
      <c r="B266" t="s">
        <v>33</v>
      </c>
      <c r="C266">
        <v>2020</v>
      </c>
      <c r="D266" t="s">
        <v>39</v>
      </c>
      <c r="E266" s="40" t="s">
        <v>162</v>
      </c>
      <c r="F266">
        <v>152.69999999999999</v>
      </c>
      <c r="G266">
        <v>197</v>
      </c>
      <c r="H266">
        <v>154.6</v>
      </c>
      <c r="I266">
        <v>153.4</v>
      </c>
      <c r="J266">
        <v>132.9</v>
      </c>
      <c r="K266">
        <v>151.80000000000001</v>
      </c>
      <c r="L266">
        <v>171.2</v>
      </c>
      <c r="M266">
        <v>152</v>
      </c>
      <c r="N266">
        <v>116.3</v>
      </c>
      <c r="O266">
        <v>158.80000000000001</v>
      </c>
      <c r="P266">
        <v>135.6</v>
      </c>
      <c r="Q266">
        <v>161.69999999999999</v>
      </c>
      <c r="R266">
        <v>157</v>
      </c>
      <c r="S266">
        <v>186.7</v>
      </c>
      <c r="T266">
        <v>149.1</v>
      </c>
      <c r="U266">
        <v>136.6</v>
      </c>
      <c r="V266">
        <v>147.19999999999999</v>
      </c>
      <c r="W266">
        <v>154.69999999999999</v>
      </c>
      <c r="X266">
        <v>137.1</v>
      </c>
      <c r="Y266">
        <v>140.4</v>
      </c>
      <c r="Z266">
        <v>148.1</v>
      </c>
      <c r="AA266">
        <v>129.30000000000001</v>
      </c>
      <c r="AB266">
        <v>144.5</v>
      </c>
      <c r="AC266">
        <v>152.5</v>
      </c>
      <c r="AD266">
        <v>152.19999999999999</v>
      </c>
      <c r="AE266">
        <v>142</v>
      </c>
      <c r="AF266">
        <v>150.80000000000001</v>
      </c>
    </row>
    <row r="267" spans="2:32" x14ac:dyDescent="0.3">
      <c r="B267" t="s">
        <v>34</v>
      </c>
      <c r="C267">
        <v>2020</v>
      </c>
      <c r="D267" t="s">
        <v>39</v>
      </c>
      <c r="E267" s="40" t="s">
        <v>162</v>
      </c>
      <c r="F267">
        <v>149.6</v>
      </c>
      <c r="G267">
        <v>192.7</v>
      </c>
      <c r="H267">
        <v>151.4</v>
      </c>
      <c r="I267">
        <v>153.30000000000001</v>
      </c>
      <c r="J267">
        <v>136.30000000000001</v>
      </c>
      <c r="K267">
        <v>147.19999999999999</v>
      </c>
      <c r="L267">
        <v>156.5</v>
      </c>
      <c r="M267">
        <v>150.9</v>
      </c>
      <c r="N267">
        <v>114.2</v>
      </c>
      <c r="O267">
        <v>159.5</v>
      </c>
      <c r="P267">
        <v>139.4</v>
      </c>
      <c r="Q267">
        <v>161.80000000000001</v>
      </c>
      <c r="R267">
        <v>154</v>
      </c>
      <c r="S267">
        <v>183.5</v>
      </c>
      <c r="T267">
        <v>152.5</v>
      </c>
      <c r="U267">
        <v>144.4</v>
      </c>
      <c r="V267">
        <v>151.4</v>
      </c>
      <c r="W267">
        <v>154.69999999999999</v>
      </c>
      <c r="X267">
        <v>141.9</v>
      </c>
      <c r="Y267">
        <v>146.4</v>
      </c>
      <c r="Z267">
        <v>154.4</v>
      </c>
      <c r="AA267">
        <v>135</v>
      </c>
      <c r="AB267">
        <v>148.30000000000001</v>
      </c>
      <c r="AC267">
        <v>156.4</v>
      </c>
      <c r="AD267">
        <v>151.6</v>
      </c>
      <c r="AE267">
        <v>147</v>
      </c>
      <c r="AF267">
        <v>151.80000000000001</v>
      </c>
    </row>
    <row r="268" spans="2:32" x14ac:dyDescent="0.3">
      <c r="B268" t="s">
        <v>30</v>
      </c>
      <c r="C268">
        <v>2020</v>
      </c>
      <c r="D268" t="s">
        <v>40</v>
      </c>
      <c r="E268" s="40" t="s">
        <v>160</v>
      </c>
      <c r="F268">
        <v>148.19999999999999</v>
      </c>
      <c r="G268">
        <v>190.3</v>
      </c>
      <c r="H268">
        <v>149.4</v>
      </c>
      <c r="I268">
        <v>153.30000000000001</v>
      </c>
      <c r="J268">
        <v>138.19999999999999</v>
      </c>
      <c r="K268">
        <v>143.19999999999999</v>
      </c>
      <c r="L268">
        <v>148.9</v>
      </c>
      <c r="M268">
        <v>150.30000000000001</v>
      </c>
      <c r="N268">
        <v>113.2</v>
      </c>
      <c r="O268">
        <v>159.80000000000001</v>
      </c>
      <c r="P268">
        <v>142.1</v>
      </c>
      <c r="Q268">
        <v>161.80000000000001</v>
      </c>
      <c r="R268">
        <v>152.30000000000001</v>
      </c>
      <c r="S268">
        <v>182.4</v>
      </c>
      <c r="T268">
        <v>154.69999999999999</v>
      </c>
      <c r="U268">
        <v>150</v>
      </c>
      <c r="V268">
        <v>154.1</v>
      </c>
      <c r="W268">
        <v>154.69999999999999</v>
      </c>
      <c r="X268">
        <v>144.9</v>
      </c>
      <c r="Y268">
        <v>151.69999999999999</v>
      </c>
      <c r="Z268">
        <v>158.19999999999999</v>
      </c>
      <c r="AA268">
        <v>141.4</v>
      </c>
      <c r="AB268">
        <v>153.19999999999999</v>
      </c>
      <c r="AC268">
        <v>161.80000000000001</v>
      </c>
      <c r="AD268">
        <v>151.19999999999999</v>
      </c>
      <c r="AE268">
        <v>151.69999999999999</v>
      </c>
      <c r="AF268">
        <v>152.69999999999999</v>
      </c>
    </row>
    <row r="269" spans="2:32" x14ac:dyDescent="0.3">
      <c r="B269" t="s">
        <v>33</v>
      </c>
      <c r="C269">
        <v>2020</v>
      </c>
      <c r="D269" t="s">
        <v>40</v>
      </c>
      <c r="E269" s="40" t="s">
        <v>160</v>
      </c>
      <c r="F269">
        <v>152.69999999999999</v>
      </c>
      <c r="G269">
        <v>197</v>
      </c>
      <c r="H269">
        <v>154.6</v>
      </c>
      <c r="I269">
        <v>153.4</v>
      </c>
      <c r="J269">
        <v>132.9</v>
      </c>
      <c r="K269">
        <v>151.80000000000001</v>
      </c>
      <c r="L269">
        <v>171.2</v>
      </c>
      <c r="M269">
        <v>152</v>
      </c>
      <c r="N269">
        <v>116.3</v>
      </c>
      <c r="O269">
        <v>158.80000000000001</v>
      </c>
      <c r="P269">
        <v>135.6</v>
      </c>
      <c r="Q269">
        <v>161.69999999999999</v>
      </c>
      <c r="R269">
        <v>157</v>
      </c>
      <c r="S269">
        <v>186.7</v>
      </c>
      <c r="T269">
        <v>149.1</v>
      </c>
      <c r="U269">
        <v>136.6</v>
      </c>
      <c r="V269">
        <v>147.19999999999999</v>
      </c>
      <c r="W269">
        <v>154.69999999999999</v>
      </c>
      <c r="X269">
        <v>137.1</v>
      </c>
      <c r="Y269">
        <v>140.4</v>
      </c>
      <c r="Z269">
        <v>148.1</v>
      </c>
      <c r="AA269">
        <v>129.30000000000001</v>
      </c>
      <c r="AB269">
        <v>144.5</v>
      </c>
      <c r="AC269">
        <v>152.5</v>
      </c>
      <c r="AD269">
        <v>152.19999999999999</v>
      </c>
      <c r="AE269">
        <v>142</v>
      </c>
      <c r="AF269">
        <v>150.80000000000001</v>
      </c>
    </row>
    <row r="270" spans="2:32" x14ac:dyDescent="0.3">
      <c r="B270" t="s">
        <v>34</v>
      </c>
      <c r="C270">
        <v>2020</v>
      </c>
      <c r="D270" t="s">
        <v>40</v>
      </c>
      <c r="E270" s="40" t="s">
        <v>160</v>
      </c>
      <c r="F270">
        <v>149.6</v>
      </c>
      <c r="G270">
        <v>192.7</v>
      </c>
      <c r="H270">
        <v>151.4</v>
      </c>
      <c r="I270">
        <v>153.30000000000001</v>
      </c>
      <c r="J270">
        <v>136.30000000000001</v>
      </c>
      <c r="K270">
        <v>147.19999999999999</v>
      </c>
      <c r="L270">
        <v>156.5</v>
      </c>
      <c r="M270">
        <v>150.9</v>
      </c>
      <c r="N270">
        <v>114.2</v>
      </c>
      <c r="O270">
        <v>159.5</v>
      </c>
      <c r="P270">
        <v>139.4</v>
      </c>
      <c r="Q270">
        <v>161.80000000000001</v>
      </c>
      <c r="R270">
        <v>154</v>
      </c>
      <c r="S270">
        <v>183.5</v>
      </c>
      <c r="T270">
        <v>152.5</v>
      </c>
      <c r="U270">
        <v>144.4</v>
      </c>
      <c r="V270">
        <v>151.4</v>
      </c>
      <c r="W270">
        <v>154.69999999999999</v>
      </c>
      <c r="X270">
        <v>141.9</v>
      </c>
      <c r="Y270">
        <v>146.4</v>
      </c>
      <c r="Z270">
        <v>154.4</v>
      </c>
      <c r="AA270">
        <v>135</v>
      </c>
      <c r="AB270">
        <v>148.30000000000001</v>
      </c>
      <c r="AC270">
        <v>156.4</v>
      </c>
      <c r="AD270">
        <v>151.6</v>
      </c>
      <c r="AE270">
        <v>147</v>
      </c>
      <c r="AF270">
        <v>151.80000000000001</v>
      </c>
    </row>
    <row r="271" spans="2:32" x14ac:dyDescent="0.3">
      <c r="B271" t="s">
        <v>30</v>
      </c>
      <c r="C271">
        <v>2020</v>
      </c>
      <c r="D271" t="s">
        <v>41</v>
      </c>
      <c r="E271" s="40" t="s">
        <v>152</v>
      </c>
      <c r="F271">
        <v>147.6</v>
      </c>
      <c r="G271">
        <v>187.2</v>
      </c>
      <c r="H271">
        <v>148.4</v>
      </c>
      <c r="I271">
        <v>153.30000000000001</v>
      </c>
      <c r="J271">
        <v>139.80000000000001</v>
      </c>
      <c r="K271">
        <v>146.9</v>
      </c>
      <c r="L271">
        <v>171</v>
      </c>
      <c r="M271">
        <v>149.9</v>
      </c>
      <c r="N271">
        <v>114.2</v>
      </c>
      <c r="O271">
        <v>160</v>
      </c>
      <c r="P271">
        <v>143.5</v>
      </c>
      <c r="Q271">
        <v>161.5</v>
      </c>
      <c r="R271">
        <v>155.30000000000001</v>
      </c>
      <c r="S271">
        <v>180.9</v>
      </c>
      <c r="T271">
        <v>155.1</v>
      </c>
      <c r="U271">
        <v>149.30000000000001</v>
      </c>
      <c r="V271">
        <v>154.30000000000001</v>
      </c>
      <c r="W271">
        <v>155.5</v>
      </c>
      <c r="X271">
        <v>145.80000000000001</v>
      </c>
      <c r="Y271">
        <v>151.9</v>
      </c>
      <c r="Z271">
        <v>158.80000000000001</v>
      </c>
      <c r="AA271">
        <v>143.6</v>
      </c>
      <c r="AB271">
        <v>152.19999999999999</v>
      </c>
      <c r="AC271">
        <v>162.69999999999999</v>
      </c>
      <c r="AD271">
        <v>153.6</v>
      </c>
      <c r="AE271">
        <v>153</v>
      </c>
      <c r="AF271">
        <v>154.69999999999999</v>
      </c>
    </row>
    <row r="272" spans="2:32" x14ac:dyDescent="0.3">
      <c r="B272" t="s">
        <v>33</v>
      </c>
      <c r="C272">
        <v>2020</v>
      </c>
      <c r="D272" t="s">
        <v>41</v>
      </c>
      <c r="E272" s="40" t="s">
        <v>152</v>
      </c>
      <c r="F272">
        <v>151.6</v>
      </c>
      <c r="G272">
        <v>197.8</v>
      </c>
      <c r="H272">
        <v>154.5</v>
      </c>
      <c r="I272">
        <v>153.4</v>
      </c>
      <c r="J272">
        <v>133.4</v>
      </c>
      <c r="K272">
        <v>154.5</v>
      </c>
      <c r="L272">
        <v>191.9</v>
      </c>
      <c r="M272">
        <v>151.30000000000001</v>
      </c>
      <c r="N272">
        <v>116.8</v>
      </c>
      <c r="O272">
        <v>160</v>
      </c>
      <c r="P272">
        <v>136.5</v>
      </c>
      <c r="Q272">
        <v>163.30000000000001</v>
      </c>
      <c r="R272">
        <v>159.9</v>
      </c>
      <c r="S272">
        <v>187.2</v>
      </c>
      <c r="T272">
        <v>150</v>
      </c>
      <c r="U272">
        <v>135.19999999999999</v>
      </c>
      <c r="V272">
        <v>147.80000000000001</v>
      </c>
      <c r="W272">
        <v>155.5</v>
      </c>
      <c r="X272">
        <v>138.30000000000001</v>
      </c>
      <c r="Y272">
        <v>144.5</v>
      </c>
      <c r="Z272">
        <v>148.69999999999999</v>
      </c>
      <c r="AA272">
        <v>133.9</v>
      </c>
      <c r="AB272">
        <v>141.19999999999999</v>
      </c>
      <c r="AC272">
        <v>155.5</v>
      </c>
      <c r="AD272">
        <v>155.19999999999999</v>
      </c>
      <c r="AE272">
        <v>144.80000000000001</v>
      </c>
      <c r="AF272">
        <v>152.9</v>
      </c>
    </row>
    <row r="273" spans="2:32" x14ac:dyDescent="0.3">
      <c r="B273" t="s">
        <v>34</v>
      </c>
      <c r="C273">
        <v>2020</v>
      </c>
      <c r="D273" t="s">
        <v>41</v>
      </c>
      <c r="E273" s="40" t="s">
        <v>152</v>
      </c>
      <c r="F273">
        <v>148.9</v>
      </c>
      <c r="G273">
        <v>190.9</v>
      </c>
      <c r="H273">
        <v>150.80000000000001</v>
      </c>
      <c r="I273">
        <v>153.30000000000001</v>
      </c>
      <c r="J273">
        <v>137.4</v>
      </c>
      <c r="K273">
        <v>150.4</v>
      </c>
      <c r="L273">
        <v>178.1</v>
      </c>
      <c r="M273">
        <v>150.4</v>
      </c>
      <c r="N273">
        <v>115.1</v>
      </c>
      <c r="O273">
        <v>160</v>
      </c>
      <c r="P273">
        <v>140.6</v>
      </c>
      <c r="Q273">
        <v>162.30000000000001</v>
      </c>
      <c r="R273">
        <v>157</v>
      </c>
      <c r="S273">
        <v>182.6</v>
      </c>
      <c r="T273">
        <v>153.1</v>
      </c>
      <c r="U273">
        <v>143.4</v>
      </c>
      <c r="V273">
        <v>151.69999999999999</v>
      </c>
      <c r="W273">
        <v>155.5</v>
      </c>
      <c r="X273">
        <v>143</v>
      </c>
      <c r="Y273">
        <v>148.4</v>
      </c>
      <c r="Z273">
        <v>155</v>
      </c>
      <c r="AA273">
        <v>138.5</v>
      </c>
      <c r="AB273">
        <v>146</v>
      </c>
      <c r="AC273">
        <v>158.5</v>
      </c>
      <c r="AD273">
        <v>154.30000000000001</v>
      </c>
      <c r="AE273">
        <v>149</v>
      </c>
      <c r="AF273">
        <v>153.9</v>
      </c>
    </row>
    <row r="274" spans="2:32" x14ac:dyDescent="0.3">
      <c r="B274" t="s">
        <v>30</v>
      </c>
      <c r="C274">
        <v>2020</v>
      </c>
      <c r="D274" t="s">
        <v>42</v>
      </c>
      <c r="E274" s="40" t="s">
        <v>171</v>
      </c>
      <c r="F274">
        <v>146.9</v>
      </c>
      <c r="G274">
        <v>183.9</v>
      </c>
      <c r="H274">
        <v>149.5</v>
      </c>
      <c r="I274">
        <v>153.4</v>
      </c>
      <c r="J274">
        <v>140.4</v>
      </c>
      <c r="K274">
        <v>147</v>
      </c>
      <c r="L274">
        <v>178.8</v>
      </c>
      <c r="M274">
        <v>149.30000000000001</v>
      </c>
      <c r="N274">
        <v>115.1</v>
      </c>
      <c r="O274">
        <v>160</v>
      </c>
      <c r="P274">
        <v>145.4</v>
      </c>
      <c r="Q274">
        <v>161.6</v>
      </c>
      <c r="R274">
        <v>156.1</v>
      </c>
      <c r="S274">
        <v>182.9</v>
      </c>
      <c r="T274">
        <v>155.4</v>
      </c>
      <c r="U274">
        <v>149.9</v>
      </c>
      <c r="V274">
        <v>154.6</v>
      </c>
      <c r="W274">
        <v>156.30000000000001</v>
      </c>
      <c r="X274">
        <v>146.4</v>
      </c>
      <c r="Y274">
        <v>151.6</v>
      </c>
      <c r="Z274">
        <v>159.1</v>
      </c>
      <c r="AA274">
        <v>144.6</v>
      </c>
      <c r="AB274">
        <v>152.80000000000001</v>
      </c>
      <c r="AC274">
        <v>161.1</v>
      </c>
      <c r="AD274">
        <v>157.4</v>
      </c>
      <c r="AE274">
        <v>153.69999999999999</v>
      </c>
      <c r="AF274">
        <v>155.4</v>
      </c>
    </row>
    <row r="275" spans="2:32" x14ac:dyDescent="0.3">
      <c r="B275" t="s">
        <v>33</v>
      </c>
      <c r="C275">
        <v>2020</v>
      </c>
      <c r="D275" t="s">
        <v>42</v>
      </c>
      <c r="E275" s="40" t="s">
        <v>171</v>
      </c>
      <c r="F275">
        <v>151.5</v>
      </c>
      <c r="G275">
        <v>193.1</v>
      </c>
      <c r="H275">
        <v>157.30000000000001</v>
      </c>
      <c r="I275">
        <v>153.9</v>
      </c>
      <c r="J275">
        <v>134.4</v>
      </c>
      <c r="K275">
        <v>155.4</v>
      </c>
      <c r="L275">
        <v>202</v>
      </c>
      <c r="M275">
        <v>150.80000000000001</v>
      </c>
      <c r="N275">
        <v>118.9</v>
      </c>
      <c r="O275">
        <v>160.9</v>
      </c>
      <c r="P275">
        <v>137.69999999999999</v>
      </c>
      <c r="Q275">
        <v>164.4</v>
      </c>
      <c r="R275">
        <v>161.30000000000001</v>
      </c>
      <c r="S275">
        <v>188.7</v>
      </c>
      <c r="T275">
        <v>150.19999999999999</v>
      </c>
      <c r="U275">
        <v>136.30000000000001</v>
      </c>
      <c r="V275">
        <v>148.1</v>
      </c>
      <c r="W275">
        <v>156.30000000000001</v>
      </c>
      <c r="X275">
        <v>137.19999999999999</v>
      </c>
      <c r="Y275">
        <v>145.4</v>
      </c>
      <c r="Z275">
        <v>150</v>
      </c>
      <c r="AA275">
        <v>135.1</v>
      </c>
      <c r="AB275">
        <v>141.80000000000001</v>
      </c>
      <c r="AC275">
        <v>154.9</v>
      </c>
      <c r="AD275">
        <v>159.80000000000001</v>
      </c>
      <c r="AE275">
        <v>146</v>
      </c>
      <c r="AF275">
        <v>154</v>
      </c>
    </row>
    <row r="276" spans="2:32" x14ac:dyDescent="0.3">
      <c r="B276" t="s">
        <v>34</v>
      </c>
      <c r="C276">
        <v>2020</v>
      </c>
      <c r="D276" t="s">
        <v>42</v>
      </c>
      <c r="E276" s="40" t="s">
        <v>171</v>
      </c>
      <c r="F276">
        <v>148.4</v>
      </c>
      <c r="G276">
        <v>187.1</v>
      </c>
      <c r="H276">
        <v>152.5</v>
      </c>
      <c r="I276">
        <v>153.6</v>
      </c>
      <c r="J276">
        <v>138.19999999999999</v>
      </c>
      <c r="K276">
        <v>150.9</v>
      </c>
      <c r="L276">
        <v>186.7</v>
      </c>
      <c r="M276">
        <v>149.80000000000001</v>
      </c>
      <c r="N276">
        <v>116.4</v>
      </c>
      <c r="O276">
        <v>160.30000000000001</v>
      </c>
      <c r="P276">
        <v>142.19999999999999</v>
      </c>
      <c r="Q276">
        <v>162.9</v>
      </c>
      <c r="R276">
        <v>158</v>
      </c>
      <c r="S276">
        <v>184.4</v>
      </c>
      <c r="T276">
        <v>153.4</v>
      </c>
      <c r="U276">
        <v>144.30000000000001</v>
      </c>
      <c r="V276">
        <v>152</v>
      </c>
      <c r="W276">
        <v>156.30000000000001</v>
      </c>
      <c r="X276">
        <v>142.9</v>
      </c>
      <c r="Y276">
        <v>148.69999999999999</v>
      </c>
      <c r="Z276">
        <v>155.6</v>
      </c>
      <c r="AA276">
        <v>139.6</v>
      </c>
      <c r="AB276">
        <v>146.6</v>
      </c>
      <c r="AC276">
        <v>157.5</v>
      </c>
      <c r="AD276">
        <v>158.4</v>
      </c>
      <c r="AE276">
        <v>150</v>
      </c>
      <c r="AF276">
        <v>154.69999999999999</v>
      </c>
    </row>
    <row r="277" spans="2:32" x14ac:dyDescent="0.3">
      <c r="B277" t="s">
        <v>30</v>
      </c>
      <c r="C277">
        <v>2020</v>
      </c>
      <c r="D277" t="s">
        <v>43</v>
      </c>
      <c r="E277" s="40" t="s">
        <v>169</v>
      </c>
      <c r="F277">
        <v>146</v>
      </c>
      <c r="G277">
        <v>186.3</v>
      </c>
      <c r="H277">
        <v>159.19999999999999</v>
      </c>
      <c r="I277">
        <v>153.6</v>
      </c>
      <c r="J277">
        <v>142.6</v>
      </c>
      <c r="K277">
        <v>147.19999999999999</v>
      </c>
      <c r="L277">
        <v>200.6</v>
      </c>
      <c r="M277">
        <v>150.30000000000001</v>
      </c>
      <c r="N277">
        <v>115.3</v>
      </c>
      <c r="O277">
        <v>160.9</v>
      </c>
      <c r="P277">
        <v>147.4</v>
      </c>
      <c r="Q277">
        <v>161.9</v>
      </c>
      <c r="R277">
        <v>159.6</v>
      </c>
      <c r="S277">
        <v>182.7</v>
      </c>
      <c r="T277">
        <v>155.69999999999999</v>
      </c>
      <c r="U277">
        <v>150.6</v>
      </c>
      <c r="V277">
        <v>155</v>
      </c>
      <c r="W277">
        <v>156.5</v>
      </c>
      <c r="X277">
        <v>146.80000000000001</v>
      </c>
      <c r="Y277">
        <v>152</v>
      </c>
      <c r="Z277">
        <v>159.5</v>
      </c>
      <c r="AA277">
        <v>146.4</v>
      </c>
      <c r="AB277">
        <v>152.4</v>
      </c>
      <c r="AC277">
        <v>162.5</v>
      </c>
      <c r="AD277">
        <v>156.19999999999999</v>
      </c>
      <c r="AE277">
        <v>154.30000000000001</v>
      </c>
      <c r="AF277">
        <v>157.5</v>
      </c>
    </row>
    <row r="278" spans="2:32" x14ac:dyDescent="0.3">
      <c r="B278" t="s">
        <v>33</v>
      </c>
      <c r="C278">
        <v>2020</v>
      </c>
      <c r="D278" t="s">
        <v>43</v>
      </c>
      <c r="E278" s="40" t="s">
        <v>169</v>
      </c>
      <c r="F278">
        <v>150.6</v>
      </c>
      <c r="G278">
        <v>193.7</v>
      </c>
      <c r="H278">
        <v>164.8</v>
      </c>
      <c r="I278">
        <v>153.69999999999999</v>
      </c>
      <c r="J278">
        <v>135.69999999999999</v>
      </c>
      <c r="K278">
        <v>155.69999999999999</v>
      </c>
      <c r="L278">
        <v>226</v>
      </c>
      <c r="M278">
        <v>152.19999999999999</v>
      </c>
      <c r="N278">
        <v>118.1</v>
      </c>
      <c r="O278">
        <v>161.30000000000001</v>
      </c>
      <c r="P278">
        <v>139.19999999999999</v>
      </c>
      <c r="Q278">
        <v>164.8</v>
      </c>
      <c r="R278">
        <v>164.4</v>
      </c>
      <c r="S278">
        <v>188.7</v>
      </c>
      <c r="T278">
        <v>150.5</v>
      </c>
      <c r="U278">
        <v>136.1</v>
      </c>
      <c r="V278">
        <v>148.30000000000001</v>
      </c>
      <c r="W278">
        <v>156.5</v>
      </c>
      <c r="X278">
        <v>137.1</v>
      </c>
      <c r="Y278">
        <v>145.1</v>
      </c>
      <c r="Z278">
        <v>151</v>
      </c>
      <c r="AA278">
        <v>135.4</v>
      </c>
      <c r="AB278">
        <v>142</v>
      </c>
      <c r="AC278">
        <v>155.69999999999999</v>
      </c>
      <c r="AD278">
        <v>158.1</v>
      </c>
      <c r="AE278">
        <v>146.19999999999999</v>
      </c>
      <c r="AF278">
        <v>155.19999999999999</v>
      </c>
    </row>
    <row r="279" spans="2:32" x14ac:dyDescent="0.3">
      <c r="B279" t="s">
        <v>34</v>
      </c>
      <c r="C279">
        <v>2020</v>
      </c>
      <c r="D279" t="s">
        <v>43</v>
      </c>
      <c r="E279" s="40" t="s">
        <v>169</v>
      </c>
      <c r="F279">
        <v>147.5</v>
      </c>
      <c r="G279">
        <v>188.9</v>
      </c>
      <c r="H279">
        <v>161.4</v>
      </c>
      <c r="I279">
        <v>153.6</v>
      </c>
      <c r="J279">
        <v>140.1</v>
      </c>
      <c r="K279">
        <v>151.19999999999999</v>
      </c>
      <c r="L279">
        <v>209.2</v>
      </c>
      <c r="M279">
        <v>150.9</v>
      </c>
      <c r="N279">
        <v>116.2</v>
      </c>
      <c r="O279">
        <v>161</v>
      </c>
      <c r="P279">
        <v>144</v>
      </c>
      <c r="Q279">
        <v>163.19999999999999</v>
      </c>
      <c r="R279">
        <v>161.4</v>
      </c>
      <c r="S279">
        <v>184.3</v>
      </c>
      <c r="T279">
        <v>153.69999999999999</v>
      </c>
      <c r="U279">
        <v>144.6</v>
      </c>
      <c r="V279">
        <v>152.30000000000001</v>
      </c>
      <c r="W279">
        <v>156.5</v>
      </c>
      <c r="X279">
        <v>143.1</v>
      </c>
      <c r="Y279">
        <v>148.69999999999999</v>
      </c>
      <c r="Z279">
        <v>156.30000000000001</v>
      </c>
      <c r="AA279">
        <v>140.6</v>
      </c>
      <c r="AB279">
        <v>146.5</v>
      </c>
      <c r="AC279">
        <v>158.5</v>
      </c>
      <c r="AD279">
        <v>157</v>
      </c>
      <c r="AE279">
        <v>150.4</v>
      </c>
      <c r="AF279">
        <v>156.4</v>
      </c>
    </row>
    <row r="280" spans="2:32" x14ac:dyDescent="0.3">
      <c r="B280" t="s">
        <v>30</v>
      </c>
      <c r="C280">
        <v>2020</v>
      </c>
      <c r="D280" t="s">
        <v>45</v>
      </c>
      <c r="E280" s="40" t="s">
        <v>167</v>
      </c>
      <c r="F280">
        <v>145.4</v>
      </c>
      <c r="G280">
        <v>188.6</v>
      </c>
      <c r="H280">
        <v>171.6</v>
      </c>
      <c r="I280">
        <v>153.80000000000001</v>
      </c>
      <c r="J280">
        <v>145.4</v>
      </c>
      <c r="K280">
        <v>146.5</v>
      </c>
      <c r="L280">
        <v>222.2</v>
      </c>
      <c r="M280">
        <v>155.9</v>
      </c>
      <c r="N280">
        <v>114.9</v>
      </c>
      <c r="O280">
        <v>162</v>
      </c>
      <c r="P280">
        <v>150</v>
      </c>
      <c r="Q280">
        <v>162.69999999999999</v>
      </c>
      <c r="R280">
        <v>163.4</v>
      </c>
      <c r="S280">
        <v>183.4</v>
      </c>
      <c r="T280">
        <v>156.30000000000001</v>
      </c>
      <c r="U280">
        <v>151</v>
      </c>
      <c r="V280">
        <v>155.5</v>
      </c>
      <c r="W280">
        <v>158</v>
      </c>
      <c r="X280">
        <v>147.5</v>
      </c>
      <c r="Y280">
        <v>152.80000000000001</v>
      </c>
      <c r="Z280">
        <v>160.4</v>
      </c>
      <c r="AA280">
        <v>146.1</v>
      </c>
      <c r="AB280">
        <v>153.6</v>
      </c>
      <c r="AC280">
        <v>161.6</v>
      </c>
      <c r="AD280">
        <v>156.19999999999999</v>
      </c>
      <c r="AE280">
        <v>154.5</v>
      </c>
      <c r="AF280">
        <v>159.80000000000001</v>
      </c>
    </row>
    <row r="281" spans="2:32" x14ac:dyDescent="0.3">
      <c r="B281" t="s">
        <v>33</v>
      </c>
      <c r="C281">
        <v>2020</v>
      </c>
      <c r="D281" t="s">
        <v>45</v>
      </c>
      <c r="E281" s="40" t="s">
        <v>167</v>
      </c>
      <c r="F281">
        <v>149.69999999999999</v>
      </c>
      <c r="G281">
        <v>195.5</v>
      </c>
      <c r="H281">
        <v>176.9</v>
      </c>
      <c r="I281">
        <v>153.9</v>
      </c>
      <c r="J281">
        <v>138</v>
      </c>
      <c r="K281">
        <v>150.5</v>
      </c>
      <c r="L281">
        <v>245.3</v>
      </c>
      <c r="M281">
        <v>158.69999999999999</v>
      </c>
      <c r="N281">
        <v>117.2</v>
      </c>
      <c r="O281">
        <v>161.4</v>
      </c>
      <c r="P281">
        <v>141.5</v>
      </c>
      <c r="Q281">
        <v>165.1</v>
      </c>
      <c r="R281">
        <v>167</v>
      </c>
      <c r="S281">
        <v>188.8</v>
      </c>
      <c r="T281">
        <v>151.1</v>
      </c>
      <c r="U281">
        <v>136.4</v>
      </c>
      <c r="V281">
        <v>148.80000000000001</v>
      </c>
      <c r="W281">
        <v>158</v>
      </c>
      <c r="X281">
        <v>137.30000000000001</v>
      </c>
      <c r="Y281">
        <v>145.1</v>
      </c>
      <c r="Z281">
        <v>152</v>
      </c>
      <c r="AA281">
        <v>135.19999999999999</v>
      </c>
      <c r="AB281">
        <v>144.4</v>
      </c>
      <c r="AC281">
        <v>156.4</v>
      </c>
      <c r="AD281">
        <v>157.9</v>
      </c>
      <c r="AE281">
        <v>146.6</v>
      </c>
      <c r="AF281">
        <v>156.69999999999999</v>
      </c>
    </row>
    <row r="282" spans="2:32" x14ac:dyDescent="0.3">
      <c r="B282" t="s">
        <v>34</v>
      </c>
      <c r="C282">
        <v>2020</v>
      </c>
      <c r="D282" t="s">
        <v>45</v>
      </c>
      <c r="E282" s="40" t="s">
        <v>167</v>
      </c>
      <c r="F282">
        <v>146.80000000000001</v>
      </c>
      <c r="G282">
        <v>191</v>
      </c>
      <c r="H282">
        <v>173.6</v>
      </c>
      <c r="I282">
        <v>153.80000000000001</v>
      </c>
      <c r="J282">
        <v>142.69999999999999</v>
      </c>
      <c r="K282">
        <v>148.4</v>
      </c>
      <c r="L282">
        <v>230</v>
      </c>
      <c r="M282">
        <v>156.80000000000001</v>
      </c>
      <c r="N282">
        <v>115.7</v>
      </c>
      <c r="O282">
        <v>161.80000000000001</v>
      </c>
      <c r="P282">
        <v>146.5</v>
      </c>
      <c r="Q282">
        <v>163.80000000000001</v>
      </c>
      <c r="R282">
        <v>164.7</v>
      </c>
      <c r="S282">
        <v>184.8</v>
      </c>
      <c r="T282">
        <v>154.30000000000001</v>
      </c>
      <c r="U282">
        <v>144.9</v>
      </c>
      <c r="V282">
        <v>152.80000000000001</v>
      </c>
      <c r="W282">
        <v>158</v>
      </c>
      <c r="X282">
        <v>143.6</v>
      </c>
      <c r="Y282">
        <v>149.19999999999999</v>
      </c>
      <c r="Z282">
        <v>157.19999999999999</v>
      </c>
      <c r="AA282">
        <v>140.4</v>
      </c>
      <c r="AB282">
        <v>148.4</v>
      </c>
      <c r="AC282">
        <v>158.6</v>
      </c>
      <c r="AD282">
        <v>156.9</v>
      </c>
      <c r="AE282">
        <v>150.69999999999999</v>
      </c>
      <c r="AF282">
        <v>158.4</v>
      </c>
    </row>
    <row r="283" spans="2:32" x14ac:dyDescent="0.3">
      <c r="B283" t="s">
        <v>30</v>
      </c>
      <c r="C283">
        <v>2020</v>
      </c>
      <c r="D283" t="s">
        <v>46</v>
      </c>
      <c r="E283" s="40" t="s">
        <v>154</v>
      </c>
      <c r="F283">
        <v>144.6</v>
      </c>
      <c r="G283">
        <v>188.5</v>
      </c>
      <c r="H283">
        <v>173.4</v>
      </c>
      <c r="I283">
        <v>154</v>
      </c>
      <c r="J283">
        <v>150</v>
      </c>
      <c r="K283">
        <v>145.9</v>
      </c>
      <c r="L283">
        <v>225.2</v>
      </c>
      <c r="M283">
        <v>159.5</v>
      </c>
      <c r="N283">
        <v>114.4</v>
      </c>
      <c r="O283">
        <v>163.5</v>
      </c>
      <c r="P283">
        <v>153.4</v>
      </c>
      <c r="Q283">
        <v>163.6</v>
      </c>
      <c r="R283">
        <v>164.5</v>
      </c>
      <c r="S283">
        <v>183.6</v>
      </c>
      <c r="T283">
        <v>157</v>
      </c>
      <c r="U283">
        <v>151.6</v>
      </c>
      <c r="V283">
        <v>156.30000000000001</v>
      </c>
      <c r="W283">
        <v>158.4</v>
      </c>
      <c r="X283">
        <v>148.69999999999999</v>
      </c>
      <c r="Y283">
        <v>153.4</v>
      </c>
      <c r="Z283">
        <v>161.6</v>
      </c>
      <c r="AA283">
        <v>146.4</v>
      </c>
      <c r="AB283">
        <v>153.9</v>
      </c>
      <c r="AC283">
        <v>162.9</v>
      </c>
      <c r="AD283">
        <v>156.6</v>
      </c>
      <c r="AE283">
        <v>155.19999999999999</v>
      </c>
      <c r="AF283">
        <v>160.69999999999999</v>
      </c>
    </row>
    <row r="284" spans="2:32" x14ac:dyDescent="0.3">
      <c r="B284" t="s">
        <v>33</v>
      </c>
      <c r="C284">
        <v>2020</v>
      </c>
      <c r="D284" t="s">
        <v>46</v>
      </c>
      <c r="E284" s="40" t="s">
        <v>154</v>
      </c>
      <c r="F284">
        <v>149</v>
      </c>
      <c r="G284">
        <v>195.7</v>
      </c>
      <c r="H284">
        <v>178.3</v>
      </c>
      <c r="I284">
        <v>154.19999999999999</v>
      </c>
      <c r="J284">
        <v>140.69999999999999</v>
      </c>
      <c r="K284">
        <v>149.69999999999999</v>
      </c>
      <c r="L284">
        <v>240.9</v>
      </c>
      <c r="M284">
        <v>161.5</v>
      </c>
      <c r="N284">
        <v>117.1</v>
      </c>
      <c r="O284">
        <v>161.9</v>
      </c>
      <c r="P284">
        <v>143.30000000000001</v>
      </c>
      <c r="Q284">
        <v>166.1</v>
      </c>
      <c r="R284">
        <v>167</v>
      </c>
      <c r="S284">
        <v>190.2</v>
      </c>
      <c r="T284">
        <v>151.9</v>
      </c>
      <c r="U284">
        <v>136.69999999999999</v>
      </c>
      <c r="V284">
        <v>149.6</v>
      </c>
      <c r="W284">
        <v>158.4</v>
      </c>
      <c r="X284">
        <v>137.9</v>
      </c>
      <c r="Y284">
        <v>145.5</v>
      </c>
      <c r="Z284">
        <v>152.9</v>
      </c>
      <c r="AA284">
        <v>135.5</v>
      </c>
      <c r="AB284">
        <v>144.30000000000001</v>
      </c>
      <c r="AC284">
        <v>156.9</v>
      </c>
      <c r="AD284">
        <v>157.9</v>
      </c>
      <c r="AE284">
        <v>146.9</v>
      </c>
      <c r="AF284">
        <v>156.9</v>
      </c>
    </row>
    <row r="285" spans="2:32" x14ac:dyDescent="0.3">
      <c r="B285" t="s">
        <v>34</v>
      </c>
      <c r="C285">
        <v>2020</v>
      </c>
      <c r="D285" t="s">
        <v>46</v>
      </c>
      <c r="E285" s="40" t="s">
        <v>154</v>
      </c>
      <c r="F285">
        <v>146</v>
      </c>
      <c r="G285">
        <v>191</v>
      </c>
      <c r="H285">
        <v>175.3</v>
      </c>
      <c r="I285">
        <v>154.1</v>
      </c>
      <c r="J285">
        <v>146.6</v>
      </c>
      <c r="K285">
        <v>147.69999999999999</v>
      </c>
      <c r="L285">
        <v>230.5</v>
      </c>
      <c r="M285">
        <v>160.19999999999999</v>
      </c>
      <c r="N285">
        <v>115.3</v>
      </c>
      <c r="O285">
        <v>163</v>
      </c>
      <c r="P285">
        <v>149.19999999999999</v>
      </c>
      <c r="Q285">
        <v>164.8</v>
      </c>
      <c r="R285">
        <v>165.4</v>
      </c>
      <c r="S285">
        <v>185.4</v>
      </c>
      <c r="T285">
        <v>155</v>
      </c>
      <c r="U285">
        <v>145.4</v>
      </c>
      <c r="V285">
        <v>153.6</v>
      </c>
      <c r="W285">
        <v>158.4</v>
      </c>
      <c r="X285">
        <v>144.6</v>
      </c>
      <c r="Y285">
        <v>149.69999999999999</v>
      </c>
      <c r="Z285">
        <v>158.30000000000001</v>
      </c>
      <c r="AA285">
        <v>140.69999999999999</v>
      </c>
      <c r="AB285">
        <v>148.5</v>
      </c>
      <c r="AC285">
        <v>159.4</v>
      </c>
      <c r="AD285">
        <v>157.1</v>
      </c>
      <c r="AE285">
        <v>151.19999999999999</v>
      </c>
      <c r="AF285">
        <v>158.9</v>
      </c>
    </row>
    <row r="286" spans="2:32" x14ac:dyDescent="0.3">
      <c r="B286" t="s">
        <v>30</v>
      </c>
      <c r="C286">
        <v>2021</v>
      </c>
      <c r="D286" t="s">
        <v>31</v>
      </c>
      <c r="E286" s="40" t="s">
        <v>203</v>
      </c>
      <c r="F286">
        <v>143.4</v>
      </c>
      <c r="G286">
        <v>187.5</v>
      </c>
      <c r="H286">
        <v>173.4</v>
      </c>
      <c r="I286">
        <v>154</v>
      </c>
      <c r="J286">
        <v>154.80000000000001</v>
      </c>
      <c r="K286">
        <v>147</v>
      </c>
      <c r="L286">
        <v>187.8</v>
      </c>
      <c r="M286">
        <v>159.5</v>
      </c>
      <c r="N286">
        <v>113.8</v>
      </c>
      <c r="O286">
        <v>164.5</v>
      </c>
      <c r="P286">
        <v>156.1</v>
      </c>
      <c r="Q286">
        <v>164.3</v>
      </c>
      <c r="R286">
        <v>159.6</v>
      </c>
      <c r="S286">
        <v>184.6</v>
      </c>
      <c r="T286">
        <v>157.5</v>
      </c>
      <c r="U286">
        <v>152.4</v>
      </c>
      <c r="V286">
        <v>156.80000000000001</v>
      </c>
      <c r="W286">
        <v>157.69999999999999</v>
      </c>
      <c r="X286">
        <v>150.9</v>
      </c>
      <c r="Y286">
        <v>153.9</v>
      </c>
      <c r="Z286">
        <v>162.5</v>
      </c>
      <c r="AA286">
        <v>147.5</v>
      </c>
      <c r="AB286">
        <v>155.1</v>
      </c>
      <c r="AC286">
        <v>163.5</v>
      </c>
      <c r="AD286">
        <v>156.19999999999999</v>
      </c>
      <c r="AE286">
        <v>155.9</v>
      </c>
      <c r="AF286">
        <v>158.5</v>
      </c>
    </row>
    <row r="287" spans="2:32" x14ac:dyDescent="0.3">
      <c r="B287" t="s">
        <v>33</v>
      </c>
      <c r="C287">
        <v>2021</v>
      </c>
      <c r="D287" t="s">
        <v>31</v>
      </c>
      <c r="E287" s="40" t="s">
        <v>203</v>
      </c>
      <c r="F287">
        <v>148</v>
      </c>
      <c r="G287">
        <v>194.8</v>
      </c>
      <c r="H287">
        <v>178.4</v>
      </c>
      <c r="I287">
        <v>154.4</v>
      </c>
      <c r="J287">
        <v>144.1</v>
      </c>
      <c r="K287">
        <v>152.6</v>
      </c>
      <c r="L287">
        <v>206.8</v>
      </c>
      <c r="M287">
        <v>162.1</v>
      </c>
      <c r="N287">
        <v>116.3</v>
      </c>
      <c r="O287">
        <v>163</v>
      </c>
      <c r="P287">
        <v>145.9</v>
      </c>
      <c r="Q287">
        <v>167.2</v>
      </c>
      <c r="R287">
        <v>163.4</v>
      </c>
      <c r="S287">
        <v>191.8</v>
      </c>
      <c r="T287">
        <v>152.5</v>
      </c>
      <c r="U287">
        <v>137.30000000000001</v>
      </c>
      <c r="V287">
        <v>150.19999999999999</v>
      </c>
      <c r="W287">
        <v>157.69999999999999</v>
      </c>
      <c r="X287">
        <v>142.9</v>
      </c>
      <c r="Y287">
        <v>145.69999999999999</v>
      </c>
      <c r="Z287">
        <v>154.1</v>
      </c>
      <c r="AA287">
        <v>136.9</v>
      </c>
      <c r="AB287">
        <v>145.4</v>
      </c>
      <c r="AC287">
        <v>156.1</v>
      </c>
      <c r="AD287">
        <v>157.69999999999999</v>
      </c>
      <c r="AE287">
        <v>147.6</v>
      </c>
      <c r="AF287">
        <v>156</v>
      </c>
    </row>
    <row r="288" spans="2:32" x14ac:dyDescent="0.3">
      <c r="B288" t="s">
        <v>34</v>
      </c>
      <c r="C288">
        <v>2021</v>
      </c>
      <c r="D288" t="s">
        <v>31</v>
      </c>
      <c r="E288" s="40" t="s">
        <v>203</v>
      </c>
      <c r="F288">
        <v>144.9</v>
      </c>
      <c r="G288">
        <v>190.1</v>
      </c>
      <c r="H288">
        <v>175.3</v>
      </c>
      <c r="I288">
        <v>154.1</v>
      </c>
      <c r="J288">
        <v>150.9</v>
      </c>
      <c r="K288">
        <v>149.6</v>
      </c>
      <c r="L288">
        <v>194.2</v>
      </c>
      <c r="M288">
        <v>160.4</v>
      </c>
      <c r="N288">
        <v>114.6</v>
      </c>
      <c r="O288">
        <v>164</v>
      </c>
      <c r="P288">
        <v>151.80000000000001</v>
      </c>
      <c r="Q288">
        <v>165.6</v>
      </c>
      <c r="R288">
        <v>161</v>
      </c>
      <c r="S288">
        <v>186.5</v>
      </c>
      <c r="T288">
        <v>155.5</v>
      </c>
      <c r="U288">
        <v>146.1</v>
      </c>
      <c r="V288">
        <v>154.19999999999999</v>
      </c>
      <c r="W288">
        <v>157.69999999999999</v>
      </c>
      <c r="X288">
        <v>147.9</v>
      </c>
      <c r="Y288">
        <v>150</v>
      </c>
      <c r="Z288">
        <v>159.30000000000001</v>
      </c>
      <c r="AA288">
        <v>141.9</v>
      </c>
      <c r="AB288">
        <v>149.6</v>
      </c>
      <c r="AC288">
        <v>159.19999999999999</v>
      </c>
      <c r="AD288">
        <v>156.80000000000001</v>
      </c>
      <c r="AE288">
        <v>151.9</v>
      </c>
      <c r="AF288">
        <v>157.30000000000001</v>
      </c>
    </row>
    <row r="289" spans="2:32" x14ac:dyDescent="0.3">
      <c r="B289" t="s">
        <v>30</v>
      </c>
      <c r="C289">
        <v>2021</v>
      </c>
      <c r="D289" t="s">
        <v>35</v>
      </c>
      <c r="E289" s="40" t="s">
        <v>205</v>
      </c>
      <c r="F289">
        <v>142.80000000000001</v>
      </c>
      <c r="G289">
        <v>184</v>
      </c>
      <c r="H289">
        <v>168</v>
      </c>
      <c r="I289">
        <v>154.4</v>
      </c>
      <c r="J289">
        <v>163</v>
      </c>
      <c r="K289">
        <v>147.80000000000001</v>
      </c>
      <c r="L289">
        <v>149.69999999999999</v>
      </c>
      <c r="M289">
        <v>158.30000000000001</v>
      </c>
      <c r="N289">
        <v>111.8</v>
      </c>
      <c r="O289">
        <v>165</v>
      </c>
      <c r="P289">
        <v>160</v>
      </c>
      <c r="Q289">
        <v>165.8</v>
      </c>
      <c r="R289">
        <v>154.69999999999999</v>
      </c>
      <c r="S289">
        <v>186.5</v>
      </c>
      <c r="T289">
        <v>159.1</v>
      </c>
      <c r="U289">
        <v>153.9</v>
      </c>
      <c r="V289">
        <v>158.4</v>
      </c>
      <c r="W289">
        <v>159.80000000000001</v>
      </c>
      <c r="X289">
        <v>154.4</v>
      </c>
      <c r="Y289">
        <v>154.80000000000001</v>
      </c>
      <c r="Z289">
        <v>164.3</v>
      </c>
      <c r="AA289">
        <v>150.19999999999999</v>
      </c>
      <c r="AB289">
        <v>157</v>
      </c>
      <c r="AC289">
        <v>163.6</v>
      </c>
      <c r="AD289">
        <v>155.19999999999999</v>
      </c>
      <c r="AE289">
        <v>157.19999999999999</v>
      </c>
      <c r="AF289">
        <v>156.69999999999999</v>
      </c>
    </row>
    <row r="290" spans="2:32" x14ac:dyDescent="0.3">
      <c r="B290" t="s">
        <v>33</v>
      </c>
      <c r="C290">
        <v>2021</v>
      </c>
      <c r="D290" t="s">
        <v>35</v>
      </c>
      <c r="E290" s="40" t="s">
        <v>205</v>
      </c>
      <c r="F290">
        <v>147.6</v>
      </c>
      <c r="G290">
        <v>191.2</v>
      </c>
      <c r="H290">
        <v>169.9</v>
      </c>
      <c r="I290">
        <v>155.1</v>
      </c>
      <c r="J290">
        <v>151.4</v>
      </c>
      <c r="K290">
        <v>154</v>
      </c>
      <c r="L290">
        <v>180.2</v>
      </c>
      <c r="M290">
        <v>159.80000000000001</v>
      </c>
      <c r="N290">
        <v>114.9</v>
      </c>
      <c r="O290">
        <v>162.5</v>
      </c>
      <c r="P290">
        <v>149.19999999999999</v>
      </c>
      <c r="Q290">
        <v>169.4</v>
      </c>
      <c r="R290">
        <v>160.80000000000001</v>
      </c>
      <c r="S290">
        <v>193.3</v>
      </c>
      <c r="T290">
        <v>154.19999999999999</v>
      </c>
      <c r="U290">
        <v>138.19999999999999</v>
      </c>
      <c r="V290">
        <v>151.80000000000001</v>
      </c>
      <c r="W290">
        <v>159.80000000000001</v>
      </c>
      <c r="X290">
        <v>149.1</v>
      </c>
      <c r="Y290">
        <v>146.5</v>
      </c>
      <c r="Z290">
        <v>156.30000000000001</v>
      </c>
      <c r="AA290">
        <v>140.5</v>
      </c>
      <c r="AB290">
        <v>147.30000000000001</v>
      </c>
      <c r="AC290">
        <v>156.6</v>
      </c>
      <c r="AD290">
        <v>156.69999999999999</v>
      </c>
      <c r="AE290">
        <v>149.30000000000001</v>
      </c>
      <c r="AF290">
        <v>156.5</v>
      </c>
    </row>
    <row r="291" spans="2:32" x14ac:dyDescent="0.3">
      <c r="B291" t="s">
        <v>34</v>
      </c>
      <c r="C291">
        <v>2021</v>
      </c>
      <c r="D291" t="s">
        <v>35</v>
      </c>
      <c r="E291" s="40" t="s">
        <v>205</v>
      </c>
      <c r="F291">
        <v>144.30000000000001</v>
      </c>
      <c r="G291">
        <v>186.5</v>
      </c>
      <c r="H291">
        <v>168.7</v>
      </c>
      <c r="I291">
        <v>154.69999999999999</v>
      </c>
      <c r="J291">
        <v>158.69999999999999</v>
      </c>
      <c r="K291">
        <v>150.69999999999999</v>
      </c>
      <c r="L291">
        <v>160</v>
      </c>
      <c r="M291">
        <v>158.80000000000001</v>
      </c>
      <c r="N291">
        <v>112.8</v>
      </c>
      <c r="O291">
        <v>164.2</v>
      </c>
      <c r="P291">
        <v>155.5</v>
      </c>
      <c r="Q291">
        <v>167.5</v>
      </c>
      <c r="R291">
        <v>156.9</v>
      </c>
      <c r="S291">
        <v>188.3</v>
      </c>
      <c r="T291">
        <v>157.19999999999999</v>
      </c>
      <c r="U291">
        <v>147.4</v>
      </c>
      <c r="V291">
        <v>155.80000000000001</v>
      </c>
      <c r="W291">
        <v>159.80000000000001</v>
      </c>
      <c r="X291">
        <v>152.4</v>
      </c>
      <c r="Y291">
        <v>150.9</v>
      </c>
      <c r="Z291">
        <v>161.30000000000001</v>
      </c>
      <c r="AA291">
        <v>145.1</v>
      </c>
      <c r="AB291">
        <v>151.5</v>
      </c>
      <c r="AC291">
        <v>159.5</v>
      </c>
      <c r="AD291">
        <v>155.80000000000001</v>
      </c>
      <c r="AE291">
        <v>153.4</v>
      </c>
      <c r="AF291">
        <v>156.6</v>
      </c>
    </row>
    <row r="292" spans="2:32" x14ac:dyDescent="0.3">
      <c r="B292" t="s">
        <v>30</v>
      </c>
      <c r="C292">
        <v>2021</v>
      </c>
      <c r="D292" t="s">
        <v>36</v>
      </c>
      <c r="E292" s="40" t="s">
        <v>197</v>
      </c>
      <c r="F292">
        <v>142.5</v>
      </c>
      <c r="G292">
        <v>189.4</v>
      </c>
      <c r="H292">
        <v>163.19999999999999</v>
      </c>
      <c r="I292">
        <v>154.5</v>
      </c>
      <c r="J292">
        <v>168.2</v>
      </c>
      <c r="K292">
        <v>150.5</v>
      </c>
      <c r="L292">
        <v>141</v>
      </c>
      <c r="M292">
        <v>159.19999999999999</v>
      </c>
      <c r="N292">
        <v>111.7</v>
      </c>
      <c r="O292">
        <v>164</v>
      </c>
      <c r="P292">
        <v>160.6</v>
      </c>
      <c r="Q292">
        <v>166.4</v>
      </c>
      <c r="R292">
        <v>154.5</v>
      </c>
      <c r="S292">
        <v>186.1</v>
      </c>
      <c r="T292">
        <v>159.6</v>
      </c>
      <c r="U292">
        <v>154.4</v>
      </c>
      <c r="V292">
        <v>158.9</v>
      </c>
      <c r="W292">
        <v>159.9</v>
      </c>
      <c r="X292">
        <v>156</v>
      </c>
      <c r="Y292">
        <v>154.80000000000001</v>
      </c>
      <c r="Z292">
        <v>164.6</v>
      </c>
      <c r="AA292">
        <v>151.30000000000001</v>
      </c>
      <c r="AB292">
        <v>157.80000000000001</v>
      </c>
      <c r="AC292">
        <v>163.80000000000001</v>
      </c>
      <c r="AD292">
        <v>153.1</v>
      </c>
      <c r="AE292">
        <v>157.30000000000001</v>
      </c>
      <c r="AF292">
        <v>156.69999999999999</v>
      </c>
    </row>
    <row r="293" spans="2:32" x14ac:dyDescent="0.3">
      <c r="B293" t="s">
        <v>33</v>
      </c>
      <c r="C293">
        <v>2021</v>
      </c>
      <c r="D293" t="s">
        <v>36</v>
      </c>
      <c r="E293" s="40" t="s">
        <v>197</v>
      </c>
      <c r="F293">
        <v>147.5</v>
      </c>
      <c r="G293">
        <v>197.5</v>
      </c>
      <c r="H293">
        <v>164.7</v>
      </c>
      <c r="I293">
        <v>155.6</v>
      </c>
      <c r="J293">
        <v>156.4</v>
      </c>
      <c r="K293">
        <v>157.30000000000001</v>
      </c>
      <c r="L293">
        <v>166.1</v>
      </c>
      <c r="M293">
        <v>161.1</v>
      </c>
      <c r="N293">
        <v>114.3</v>
      </c>
      <c r="O293">
        <v>162.6</v>
      </c>
      <c r="P293">
        <v>150.69999999999999</v>
      </c>
      <c r="Q293">
        <v>170.3</v>
      </c>
      <c r="R293">
        <v>160.4</v>
      </c>
      <c r="S293">
        <v>193.5</v>
      </c>
      <c r="T293">
        <v>155.1</v>
      </c>
      <c r="U293">
        <v>138.69999999999999</v>
      </c>
      <c r="V293">
        <v>152.6</v>
      </c>
      <c r="W293">
        <v>159.9</v>
      </c>
      <c r="X293">
        <v>154.80000000000001</v>
      </c>
      <c r="Y293">
        <v>147.19999999999999</v>
      </c>
      <c r="Z293">
        <v>156.9</v>
      </c>
      <c r="AA293">
        <v>141.69999999999999</v>
      </c>
      <c r="AB293">
        <v>148.6</v>
      </c>
      <c r="AC293">
        <v>157.6</v>
      </c>
      <c r="AD293">
        <v>154.9</v>
      </c>
      <c r="AE293">
        <v>150</v>
      </c>
      <c r="AF293">
        <v>156.9</v>
      </c>
    </row>
    <row r="294" spans="2:32" x14ac:dyDescent="0.3">
      <c r="B294" t="s">
        <v>34</v>
      </c>
      <c r="C294">
        <v>2021</v>
      </c>
      <c r="D294" t="s">
        <v>36</v>
      </c>
      <c r="E294" s="40" t="s">
        <v>197</v>
      </c>
      <c r="F294">
        <v>144.1</v>
      </c>
      <c r="G294">
        <v>192.2</v>
      </c>
      <c r="H294">
        <v>163.80000000000001</v>
      </c>
      <c r="I294">
        <v>154.9</v>
      </c>
      <c r="J294">
        <v>163.9</v>
      </c>
      <c r="K294">
        <v>153.69999999999999</v>
      </c>
      <c r="L294">
        <v>149.5</v>
      </c>
      <c r="M294">
        <v>159.80000000000001</v>
      </c>
      <c r="N294">
        <v>112.6</v>
      </c>
      <c r="O294">
        <v>163.5</v>
      </c>
      <c r="P294">
        <v>156.5</v>
      </c>
      <c r="Q294">
        <v>168.2</v>
      </c>
      <c r="R294">
        <v>156.69999999999999</v>
      </c>
      <c r="S294">
        <v>188.1</v>
      </c>
      <c r="T294">
        <v>157.80000000000001</v>
      </c>
      <c r="U294">
        <v>147.9</v>
      </c>
      <c r="V294">
        <v>156.4</v>
      </c>
      <c r="W294">
        <v>159.9</v>
      </c>
      <c r="X294">
        <v>155.5</v>
      </c>
      <c r="Y294">
        <v>151.19999999999999</v>
      </c>
      <c r="Z294">
        <v>161.69999999999999</v>
      </c>
      <c r="AA294">
        <v>146.19999999999999</v>
      </c>
      <c r="AB294">
        <v>152.6</v>
      </c>
      <c r="AC294">
        <v>160.19999999999999</v>
      </c>
      <c r="AD294">
        <v>153.80000000000001</v>
      </c>
      <c r="AE294">
        <v>153.80000000000001</v>
      </c>
      <c r="AF294">
        <v>156.80000000000001</v>
      </c>
    </row>
    <row r="295" spans="2:32" x14ac:dyDescent="0.3">
      <c r="B295" t="s">
        <v>30</v>
      </c>
      <c r="C295">
        <v>2021</v>
      </c>
      <c r="D295" t="s">
        <v>37</v>
      </c>
      <c r="E295" s="40" t="s">
        <v>209</v>
      </c>
      <c r="F295">
        <v>142.69999999999999</v>
      </c>
      <c r="G295">
        <v>195.5</v>
      </c>
      <c r="H295">
        <v>163.4</v>
      </c>
      <c r="I295">
        <v>155</v>
      </c>
      <c r="J295">
        <v>175.2</v>
      </c>
      <c r="K295">
        <v>160.6</v>
      </c>
      <c r="L295">
        <v>135.1</v>
      </c>
      <c r="M295">
        <v>161.1</v>
      </c>
      <c r="N295">
        <v>112.2</v>
      </c>
      <c r="O295">
        <v>164.4</v>
      </c>
      <c r="P295">
        <v>161.9</v>
      </c>
      <c r="Q295">
        <v>166.8</v>
      </c>
      <c r="R295">
        <v>155.6</v>
      </c>
      <c r="S295">
        <v>186.8</v>
      </c>
      <c r="T295">
        <v>160.69999999999999</v>
      </c>
      <c r="U295">
        <v>155.1</v>
      </c>
      <c r="V295">
        <v>159.9</v>
      </c>
      <c r="W295">
        <v>161.4</v>
      </c>
      <c r="X295">
        <v>156</v>
      </c>
      <c r="Y295">
        <v>155.5</v>
      </c>
      <c r="Z295">
        <v>165.3</v>
      </c>
      <c r="AA295">
        <v>151.69999999999999</v>
      </c>
      <c r="AB295">
        <v>158.6</v>
      </c>
      <c r="AC295">
        <v>164.1</v>
      </c>
      <c r="AD295">
        <v>154.6</v>
      </c>
      <c r="AE295">
        <v>158</v>
      </c>
      <c r="AF295">
        <v>157.6</v>
      </c>
    </row>
    <row r="296" spans="2:32" x14ac:dyDescent="0.3">
      <c r="B296" t="s">
        <v>33</v>
      </c>
      <c r="C296">
        <v>2021</v>
      </c>
      <c r="D296" t="s">
        <v>37</v>
      </c>
      <c r="E296" s="40" t="s">
        <v>209</v>
      </c>
      <c r="F296">
        <v>147.6</v>
      </c>
      <c r="G296">
        <v>202.5</v>
      </c>
      <c r="H296">
        <v>166.4</v>
      </c>
      <c r="I296">
        <v>156</v>
      </c>
      <c r="J296">
        <v>161.4</v>
      </c>
      <c r="K296">
        <v>168.8</v>
      </c>
      <c r="L296">
        <v>161.6</v>
      </c>
      <c r="M296">
        <v>162.80000000000001</v>
      </c>
      <c r="N296">
        <v>114.8</v>
      </c>
      <c r="O296">
        <v>162.80000000000001</v>
      </c>
      <c r="P296">
        <v>151.5</v>
      </c>
      <c r="Q296">
        <v>171.4</v>
      </c>
      <c r="R296">
        <v>162</v>
      </c>
      <c r="S296">
        <v>194.4</v>
      </c>
      <c r="T296">
        <v>155.9</v>
      </c>
      <c r="U296">
        <v>139.30000000000001</v>
      </c>
      <c r="V296">
        <v>153.4</v>
      </c>
      <c r="W296">
        <v>161.4</v>
      </c>
      <c r="X296">
        <v>154.9</v>
      </c>
      <c r="Y296">
        <v>147.6</v>
      </c>
      <c r="Z296">
        <v>157.5</v>
      </c>
      <c r="AA296">
        <v>142.1</v>
      </c>
      <c r="AB296">
        <v>149.1</v>
      </c>
      <c r="AC296">
        <v>157.6</v>
      </c>
      <c r="AD296">
        <v>156.6</v>
      </c>
      <c r="AE296">
        <v>150.5</v>
      </c>
      <c r="AF296">
        <v>158</v>
      </c>
    </row>
    <row r="297" spans="2:32" x14ac:dyDescent="0.3">
      <c r="B297" t="s">
        <v>34</v>
      </c>
      <c r="C297">
        <v>2021</v>
      </c>
      <c r="D297" t="s">
        <v>37</v>
      </c>
      <c r="E297" s="40" t="s">
        <v>209</v>
      </c>
      <c r="F297">
        <v>144.30000000000001</v>
      </c>
      <c r="G297">
        <v>198</v>
      </c>
      <c r="H297">
        <v>164.6</v>
      </c>
      <c r="I297">
        <v>155.4</v>
      </c>
      <c r="J297">
        <v>170.1</v>
      </c>
      <c r="K297">
        <v>164.4</v>
      </c>
      <c r="L297">
        <v>144.1</v>
      </c>
      <c r="M297">
        <v>161.69999999999999</v>
      </c>
      <c r="N297">
        <v>113.1</v>
      </c>
      <c r="O297">
        <v>163.9</v>
      </c>
      <c r="P297">
        <v>157.6</v>
      </c>
      <c r="Q297">
        <v>168.9</v>
      </c>
      <c r="R297">
        <v>158</v>
      </c>
      <c r="S297">
        <v>188.8</v>
      </c>
      <c r="T297">
        <v>158.80000000000001</v>
      </c>
      <c r="U297">
        <v>148.5</v>
      </c>
      <c r="V297">
        <v>157.30000000000001</v>
      </c>
      <c r="W297">
        <v>161.4</v>
      </c>
      <c r="X297">
        <v>155.6</v>
      </c>
      <c r="Y297">
        <v>151.80000000000001</v>
      </c>
      <c r="Z297">
        <v>162.30000000000001</v>
      </c>
      <c r="AA297">
        <v>146.6</v>
      </c>
      <c r="AB297">
        <v>153.19999999999999</v>
      </c>
      <c r="AC297">
        <v>160.30000000000001</v>
      </c>
      <c r="AD297">
        <v>155.4</v>
      </c>
      <c r="AE297">
        <v>154.4</v>
      </c>
      <c r="AF297">
        <v>157.80000000000001</v>
      </c>
    </row>
    <row r="298" spans="2:32" x14ac:dyDescent="0.3">
      <c r="B298" t="s">
        <v>30</v>
      </c>
      <c r="C298">
        <v>2021</v>
      </c>
      <c r="D298" t="s">
        <v>38</v>
      </c>
      <c r="E298" s="40" t="s">
        <v>195</v>
      </c>
      <c r="F298">
        <v>145.1</v>
      </c>
      <c r="G298">
        <v>198.5</v>
      </c>
      <c r="H298">
        <v>168.6</v>
      </c>
      <c r="I298">
        <v>155.80000000000001</v>
      </c>
      <c r="J298">
        <v>184.4</v>
      </c>
      <c r="K298">
        <v>162.30000000000001</v>
      </c>
      <c r="L298">
        <v>138.4</v>
      </c>
      <c r="M298">
        <v>165.1</v>
      </c>
      <c r="N298">
        <v>114.3</v>
      </c>
      <c r="O298">
        <v>169.7</v>
      </c>
      <c r="P298">
        <v>164.6</v>
      </c>
      <c r="Q298">
        <v>169.8</v>
      </c>
      <c r="R298">
        <v>158.69999999999999</v>
      </c>
      <c r="S298">
        <v>189.6</v>
      </c>
      <c r="T298">
        <v>165.3</v>
      </c>
      <c r="U298">
        <v>160.6</v>
      </c>
      <c r="V298">
        <v>164.5</v>
      </c>
      <c r="W298">
        <v>161.6</v>
      </c>
      <c r="X298">
        <v>161.69999999999999</v>
      </c>
      <c r="Y298">
        <v>158.80000000000001</v>
      </c>
      <c r="Z298">
        <v>169.1</v>
      </c>
      <c r="AA298">
        <v>153.19999999999999</v>
      </c>
      <c r="AB298">
        <v>160</v>
      </c>
      <c r="AC298">
        <v>167.6</v>
      </c>
      <c r="AD298">
        <v>159.30000000000001</v>
      </c>
      <c r="AE298">
        <v>161.1</v>
      </c>
      <c r="AF298">
        <v>161.1</v>
      </c>
    </row>
    <row r="299" spans="2:32" x14ac:dyDescent="0.3">
      <c r="B299" t="s">
        <v>33</v>
      </c>
      <c r="C299">
        <v>2021</v>
      </c>
      <c r="D299" t="s">
        <v>38</v>
      </c>
      <c r="E299" s="40" t="s">
        <v>195</v>
      </c>
      <c r="F299">
        <v>148.80000000000001</v>
      </c>
      <c r="G299">
        <v>204.3</v>
      </c>
      <c r="H299">
        <v>173</v>
      </c>
      <c r="I299">
        <v>156.5</v>
      </c>
      <c r="J299">
        <v>168.8</v>
      </c>
      <c r="K299">
        <v>172.5</v>
      </c>
      <c r="L299">
        <v>166.5</v>
      </c>
      <c r="M299">
        <v>165.9</v>
      </c>
      <c r="N299">
        <v>115.9</v>
      </c>
      <c r="O299">
        <v>165.2</v>
      </c>
      <c r="P299">
        <v>152</v>
      </c>
      <c r="Q299">
        <v>171.1</v>
      </c>
      <c r="R299">
        <v>164.2</v>
      </c>
      <c r="S299">
        <v>198.2</v>
      </c>
      <c r="T299">
        <v>156.5</v>
      </c>
      <c r="U299">
        <v>140.19999999999999</v>
      </c>
      <c r="V299">
        <v>154.1</v>
      </c>
      <c r="W299">
        <v>161.6</v>
      </c>
      <c r="X299">
        <v>155.5</v>
      </c>
      <c r="Y299">
        <v>150.1</v>
      </c>
      <c r="Z299">
        <v>160.4</v>
      </c>
      <c r="AA299">
        <v>145</v>
      </c>
      <c r="AB299">
        <v>152.6</v>
      </c>
      <c r="AC299">
        <v>156.6</v>
      </c>
      <c r="AD299">
        <v>157.5</v>
      </c>
      <c r="AE299">
        <v>152.30000000000001</v>
      </c>
      <c r="AF299">
        <v>159.5</v>
      </c>
    </row>
    <row r="300" spans="2:32" x14ac:dyDescent="0.3">
      <c r="B300" t="s">
        <v>34</v>
      </c>
      <c r="C300">
        <v>2021</v>
      </c>
      <c r="D300" t="s">
        <v>38</v>
      </c>
      <c r="E300" s="40" t="s">
        <v>195</v>
      </c>
      <c r="F300">
        <v>146.30000000000001</v>
      </c>
      <c r="G300">
        <v>200.5</v>
      </c>
      <c r="H300">
        <v>170.3</v>
      </c>
      <c r="I300">
        <v>156.1</v>
      </c>
      <c r="J300">
        <v>178.7</v>
      </c>
      <c r="K300">
        <v>167.1</v>
      </c>
      <c r="L300">
        <v>147.9</v>
      </c>
      <c r="M300">
        <v>165.4</v>
      </c>
      <c r="N300">
        <v>114.8</v>
      </c>
      <c r="O300">
        <v>168.2</v>
      </c>
      <c r="P300">
        <v>159.30000000000001</v>
      </c>
      <c r="Q300">
        <v>170.4</v>
      </c>
      <c r="R300">
        <v>160.69999999999999</v>
      </c>
      <c r="S300">
        <v>191.9</v>
      </c>
      <c r="T300">
        <v>161.80000000000001</v>
      </c>
      <c r="U300">
        <v>152.1</v>
      </c>
      <c r="V300">
        <v>160.4</v>
      </c>
      <c r="W300">
        <v>161.6</v>
      </c>
      <c r="X300">
        <v>159.4</v>
      </c>
      <c r="Y300">
        <v>154.69999999999999</v>
      </c>
      <c r="Z300">
        <v>165.8</v>
      </c>
      <c r="AA300">
        <v>148.9</v>
      </c>
      <c r="AB300">
        <v>155.80000000000001</v>
      </c>
      <c r="AC300">
        <v>161.19999999999999</v>
      </c>
      <c r="AD300">
        <v>158.6</v>
      </c>
      <c r="AE300">
        <v>156.80000000000001</v>
      </c>
      <c r="AF300">
        <v>160.4</v>
      </c>
    </row>
    <row r="301" spans="2:32" x14ac:dyDescent="0.3">
      <c r="B301" t="s">
        <v>30</v>
      </c>
      <c r="C301">
        <v>2021</v>
      </c>
      <c r="D301" t="s">
        <v>39</v>
      </c>
      <c r="E301" s="40" t="s">
        <v>198</v>
      </c>
      <c r="F301">
        <v>145.6</v>
      </c>
      <c r="G301">
        <v>200.1</v>
      </c>
      <c r="H301">
        <v>179.3</v>
      </c>
      <c r="I301">
        <v>156.1</v>
      </c>
      <c r="J301">
        <v>190.4</v>
      </c>
      <c r="K301">
        <v>158.6</v>
      </c>
      <c r="L301">
        <v>144.69999999999999</v>
      </c>
      <c r="M301">
        <v>165.5</v>
      </c>
      <c r="N301">
        <v>114.6</v>
      </c>
      <c r="O301">
        <v>170</v>
      </c>
      <c r="P301">
        <v>165.5</v>
      </c>
      <c r="Q301">
        <v>171.7</v>
      </c>
      <c r="R301">
        <v>160.5</v>
      </c>
      <c r="S301">
        <v>189.1</v>
      </c>
      <c r="T301">
        <v>165.3</v>
      </c>
      <c r="U301">
        <v>159.9</v>
      </c>
      <c r="V301">
        <v>164.6</v>
      </c>
      <c r="W301">
        <v>160.5</v>
      </c>
      <c r="X301">
        <v>162.1</v>
      </c>
      <c r="Y301">
        <v>159.19999999999999</v>
      </c>
      <c r="Z301">
        <v>169.7</v>
      </c>
      <c r="AA301">
        <v>154.19999999999999</v>
      </c>
      <c r="AB301">
        <v>160.4</v>
      </c>
      <c r="AC301">
        <v>166.8</v>
      </c>
      <c r="AD301">
        <v>159.4</v>
      </c>
      <c r="AE301">
        <v>161.5</v>
      </c>
      <c r="AF301">
        <v>162.1</v>
      </c>
    </row>
    <row r="302" spans="2:32" x14ac:dyDescent="0.3">
      <c r="B302" t="s">
        <v>33</v>
      </c>
      <c r="C302">
        <v>2021</v>
      </c>
      <c r="D302" t="s">
        <v>39</v>
      </c>
      <c r="E302" s="40" t="s">
        <v>198</v>
      </c>
      <c r="F302">
        <v>149.19999999999999</v>
      </c>
      <c r="G302">
        <v>205.5</v>
      </c>
      <c r="H302">
        <v>182.8</v>
      </c>
      <c r="I302">
        <v>156.5</v>
      </c>
      <c r="J302">
        <v>172.2</v>
      </c>
      <c r="K302">
        <v>171.5</v>
      </c>
      <c r="L302">
        <v>176.2</v>
      </c>
      <c r="M302">
        <v>166.9</v>
      </c>
      <c r="N302">
        <v>116.1</v>
      </c>
      <c r="O302">
        <v>165.5</v>
      </c>
      <c r="P302">
        <v>152.30000000000001</v>
      </c>
      <c r="Q302">
        <v>173.3</v>
      </c>
      <c r="R302">
        <v>166.2</v>
      </c>
      <c r="S302">
        <v>195.6</v>
      </c>
      <c r="T302">
        <v>157.30000000000001</v>
      </c>
      <c r="U302">
        <v>140.5</v>
      </c>
      <c r="V302">
        <v>154.80000000000001</v>
      </c>
      <c r="W302">
        <v>160.5</v>
      </c>
      <c r="X302">
        <v>156.1</v>
      </c>
      <c r="Y302">
        <v>149.80000000000001</v>
      </c>
      <c r="Z302">
        <v>160.80000000000001</v>
      </c>
      <c r="AA302">
        <v>147.5</v>
      </c>
      <c r="AB302">
        <v>150.69999999999999</v>
      </c>
      <c r="AC302">
        <v>158.1</v>
      </c>
      <c r="AD302">
        <v>158</v>
      </c>
      <c r="AE302">
        <v>153.4</v>
      </c>
      <c r="AF302">
        <v>160.4</v>
      </c>
    </row>
    <row r="303" spans="2:32" x14ac:dyDescent="0.3">
      <c r="B303" t="s">
        <v>34</v>
      </c>
      <c r="C303">
        <v>2021</v>
      </c>
      <c r="D303" t="s">
        <v>39</v>
      </c>
      <c r="E303" s="40" t="s">
        <v>198</v>
      </c>
      <c r="F303">
        <v>146.69999999999999</v>
      </c>
      <c r="G303">
        <v>202</v>
      </c>
      <c r="H303">
        <v>180.7</v>
      </c>
      <c r="I303">
        <v>156.19999999999999</v>
      </c>
      <c r="J303">
        <v>183.7</v>
      </c>
      <c r="K303">
        <v>164.6</v>
      </c>
      <c r="L303">
        <v>155.4</v>
      </c>
      <c r="M303">
        <v>166</v>
      </c>
      <c r="N303">
        <v>115.1</v>
      </c>
      <c r="O303">
        <v>168.5</v>
      </c>
      <c r="P303">
        <v>160</v>
      </c>
      <c r="Q303">
        <v>172.4</v>
      </c>
      <c r="R303">
        <v>162.6</v>
      </c>
      <c r="S303">
        <v>190.8</v>
      </c>
      <c r="T303">
        <v>162.19999999999999</v>
      </c>
      <c r="U303">
        <v>151.80000000000001</v>
      </c>
      <c r="V303">
        <v>160.69999999999999</v>
      </c>
      <c r="W303">
        <v>160.5</v>
      </c>
      <c r="X303">
        <v>159.80000000000001</v>
      </c>
      <c r="Y303">
        <v>154.80000000000001</v>
      </c>
      <c r="Z303">
        <v>166.3</v>
      </c>
      <c r="AA303">
        <v>150.69999999999999</v>
      </c>
      <c r="AB303">
        <v>154.9</v>
      </c>
      <c r="AC303">
        <v>161.69999999999999</v>
      </c>
      <c r="AD303">
        <v>158.80000000000001</v>
      </c>
      <c r="AE303">
        <v>157.6</v>
      </c>
      <c r="AF303">
        <v>161.30000000000001</v>
      </c>
    </row>
    <row r="304" spans="2:32" x14ac:dyDescent="0.3">
      <c r="B304" t="s">
        <v>30</v>
      </c>
      <c r="C304">
        <v>2021</v>
      </c>
      <c r="D304" t="s">
        <v>40</v>
      </c>
      <c r="E304" s="40" t="s">
        <v>199</v>
      </c>
      <c r="F304">
        <v>145.1</v>
      </c>
      <c r="G304">
        <v>204.5</v>
      </c>
      <c r="H304">
        <v>180.4</v>
      </c>
      <c r="I304">
        <v>157.1</v>
      </c>
      <c r="J304">
        <v>188.7</v>
      </c>
      <c r="K304">
        <v>157.69999999999999</v>
      </c>
      <c r="L304">
        <v>152.80000000000001</v>
      </c>
      <c r="M304">
        <v>163.6</v>
      </c>
      <c r="N304">
        <v>113.9</v>
      </c>
      <c r="O304">
        <v>169.7</v>
      </c>
      <c r="P304">
        <v>166.2</v>
      </c>
      <c r="Q304">
        <v>171</v>
      </c>
      <c r="R304">
        <v>161.69999999999999</v>
      </c>
      <c r="S304">
        <v>189.7</v>
      </c>
      <c r="T304">
        <v>166</v>
      </c>
      <c r="U304">
        <v>161.1</v>
      </c>
      <c r="V304">
        <v>165.3</v>
      </c>
      <c r="W304">
        <v>161.5</v>
      </c>
      <c r="X304">
        <v>162.5</v>
      </c>
      <c r="Y304">
        <v>160.30000000000001</v>
      </c>
      <c r="Z304">
        <v>170.4</v>
      </c>
      <c r="AA304">
        <v>157.1</v>
      </c>
      <c r="AB304">
        <v>160.69999999999999</v>
      </c>
      <c r="AC304">
        <v>167.2</v>
      </c>
      <c r="AD304">
        <v>160.4</v>
      </c>
      <c r="AE304">
        <v>162.80000000000001</v>
      </c>
      <c r="AF304">
        <v>163.19999999999999</v>
      </c>
    </row>
    <row r="305" spans="2:32" x14ac:dyDescent="0.3">
      <c r="B305" t="s">
        <v>33</v>
      </c>
      <c r="C305">
        <v>2021</v>
      </c>
      <c r="D305" t="s">
        <v>40</v>
      </c>
      <c r="E305" s="40" t="s">
        <v>199</v>
      </c>
      <c r="F305">
        <v>149.1</v>
      </c>
      <c r="G305">
        <v>210.9</v>
      </c>
      <c r="H305">
        <v>185</v>
      </c>
      <c r="I305">
        <v>158.19999999999999</v>
      </c>
      <c r="J305">
        <v>170.6</v>
      </c>
      <c r="K305">
        <v>170.9</v>
      </c>
      <c r="L305">
        <v>186.4</v>
      </c>
      <c r="M305">
        <v>164.7</v>
      </c>
      <c r="N305">
        <v>115.7</v>
      </c>
      <c r="O305">
        <v>165.5</v>
      </c>
      <c r="P305">
        <v>153.4</v>
      </c>
      <c r="Q305">
        <v>173.5</v>
      </c>
      <c r="R305">
        <v>167.9</v>
      </c>
      <c r="S305">
        <v>195.5</v>
      </c>
      <c r="T305">
        <v>157.9</v>
      </c>
      <c r="U305">
        <v>141.9</v>
      </c>
      <c r="V305">
        <v>155.5</v>
      </c>
      <c r="W305">
        <v>161.5</v>
      </c>
      <c r="X305">
        <v>157.69999999999999</v>
      </c>
      <c r="Y305">
        <v>150.69999999999999</v>
      </c>
      <c r="Z305">
        <v>161.5</v>
      </c>
      <c r="AA305">
        <v>149.5</v>
      </c>
      <c r="AB305">
        <v>151.19999999999999</v>
      </c>
      <c r="AC305">
        <v>160.30000000000001</v>
      </c>
      <c r="AD305">
        <v>159.6</v>
      </c>
      <c r="AE305">
        <v>155</v>
      </c>
      <c r="AF305">
        <v>161.80000000000001</v>
      </c>
    </row>
    <row r="306" spans="2:32" x14ac:dyDescent="0.3">
      <c r="B306" t="s">
        <v>34</v>
      </c>
      <c r="C306">
        <v>2021</v>
      </c>
      <c r="D306" t="s">
        <v>40</v>
      </c>
      <c r="E306" s="40" t="s">
        <v>199</v>
      </c>
      <c r="F306">
        <v>146.4</v>
      </c>
      <c r="G306">
        <v>206.8</v>
      </c>
      <c r="H306">
        <v>182.2</v>
      </c>
      <c r="I306">
        <v>157.5</v>
      </c>
      <c r="J306">
        <v>182.1</v>
      </c>
      <c r="K306">
        <v>163.9</v>
      </c>
      <c r="L306">
        <v>164.2</v>
      </c>
      <c r="M306">
        <v>164</v>
      </c>
      <c r="N306">
        <v>114.5</v>
      </c>
      <c r="O306">
        <v>168.3</v>
      </c>
      <c r="P306">
        <v>160.9</v>
      </c>
      <c r="Q306">
        <v>172.2</v>
      </c>
      <c r="R306">
        <v>164</v>
      </c>
      <c r="S306">
        <v>191.2</v>
      </c>
      <c r="T306">
        <v>162.80000000000001</v>
      </c>
      <c r="U306">
        <v>153.1</v>
      </c>
      <c r="V306">
        <v>161.4</v>
      </c>
      <c r="W306">
        <v>161.5</v>
      </c>
      <c r="X306">
        <v>160.69999999999999</v>
      </c>
      <c r="Y306">
        <v>155.80000000000001</v>
      </c>
      <c r="Z306">
        <v>167</v>
      </c>
      <c r="AA306">
        <v>153.1</v>
      </c>
      <c r="AB306">
        <v>155.30000000000001</v>
      </c>
      <c r="AC306">
        <v>163.19999999999999</v>
      </c>
      <c r="AD306">
        <v>160.1</v>
      </c>
      <c r="AE306">
        <v>159</v>
      </c>
      <c r="AF306">
        <v>162.5</v>
      </c>
    </row>
    <row r="307" spans="2:32" x14ac:dyDescent="0.3">
      <c r="B307" t="s">
        <v>30</v>
      </c>
      <c r="C307">
        <v>2021</v>
      </c>
      <c r="D307" t="s">
        <v>41</v>
      </c>
      <c r="E307" s="40" t="s">
        <v>207</v>
      </c>
      <c r="F307">
        <v>144.9</v>
      </c>
      <c r="G307">
        <v>202.3</v>
      </c>
      <c r="H307">
        <v>176.5</v>
      </c>
      <c r="I307">
        <v>157.5</v>
      </c>
      <c r="J307">
        <v>190.9</v>
      </c>
      <c r="K307">
        <v>155.69999999999999</v>
      </c>
      <c r="L307">
        <v>153.9</v>
      </c>
      <c r="M307">
        <v>162.80000000000001</v>
      </c>
      <c r="N307">
        <v>115.2</v>
      </c>
      <c r="O307">
        <v>169.8</v>
      </c>
      <c r="P307">
        <v>167.6</v>
      </c>
      <c r="Q307">
        <v>171.9</v>
      </c>
      <c r="R307">
        <v>161.80000000000001</v>
      </c>
      <c r="S307">
        <v>190.2</v>
      </c>
      <c r="T307">
        <v>167</v>
      </c>
      <c r="U307">
        <v>162.6</v>
      </c>
      <c r="V307">
        <v>166.3</v>
      </c>
      <c r="W307">
        <v>162.1</v>
      </c>
      <c r="X307">
        <v>163.1</v>
      </c>
      <c r="Y307">
        <v>160.9</v>
      </c>
      <c r="Z307">
        <v>171.1</v>
      </c>
      <c r="AA307">
        <v>157.69999999999999</v>
      </c>
      <c r="AB307">
        <v>161.1</v>
      </c>
      <c r="AC307">
        <v>167.5</v>
      </c>
      <c r="AD307">
        <v>160.30000000000001</v>
      </c>
      <c r="AE307">
        <v>163.30000000000001</v>
      </c>
      <c r="AF307">
        <v>163.6</v>
      </c>
    </row>
    <row r="308" spans="2:32" x14ac:dyDescent="0.3">
      <c r="B308" t="s">
        <v>33</v>
      </c>
      <c r="C308">
        <v>2021</v>
      </c>
      <c r="D308" t="s">
        <v>41</v>
      </c>
      <c r="E308" s="40" t="s">
        <v>207</v>
      </c>
      <c r="F308">
        <v>149.30000000000001</v>
      </c>
      <c r="G308">
        <v>207.4</v>
      </c>
      <c r="H308">
        <v>174.1</v>
      </c>
      <c r="I308">
        <v>159.19999999999999</v>
      </c>
      <c r="J308">
        <v>175</v>
      </c>
      <c r="K308">
        <v>161.30000000000001</v>
      </c>
      <c r="L308">
        <v>183.3</v>
      </c>
      <c r="M308">
        <v>164.5</v>
      </c>
      <c r="N308">
        <v>120.4</v>
      </c>
      <c r="O308">
        <v>166.2</v>
      </c>
      <c r="P308">
        <v>154.80000000000001</v>
      </c>
      <c r="Q308">
        <v>175.1</v>
      </c>
      <c r="R308">
        <v>167.3</v>
      </c>
      <c r="S308">
        <v>196.5</v>
      </c>
      <c r="T308">
        <v>159.80000000000001</v>
      </c>
      <c r="U308">
        <v>143.6</v>
      </c>
      <c r="V308">
        <v>157.30000000000001</v>
      </c>
      <c r="W308">
        <v>162.1</v>
      </c>
      <c r="X308">
        <v>160.69999999999999</v>
      </c>
      <c r="Y308">
        <v>153.19999999999999</v>
      </c>
      <c r="Z308">
        <v>162.80000000000001</v>
      </c>
      <c r="AA308">
        <v>150.4</v>
      </c>
      <c r="AB308">
        <v>153.69999999999999</v>
      </c>
      <c r="AC308">
        <v>160.4</v>
      </c>
      <c r="AD308">
        <v>159.6</v>
      </c>
      <c r="AE308">
        <v>156</v>
      </c>
      <c r="AF308">
        <v>162.30000000000001</v>
      </c>
    </row>
    <row r="309" spans="2:32" x14ac:dyDescent="0.3">
      <c r="B309" t="s">
        <v>34</v>
      </c>
      <c r="C309">
        <v>2021</v>
      </c>
      <c r="D309" t="s">
        <v>41</v>
      </c>
      <c r="E309" s="40" t="s">
        <v>207</v>
      </c>
      <c r="F309">
        <v>146.6</v>
      </c>
      <c r="G309">
        <v>204</v>
      </c>
      <c r="H309">
        <v>172.8</v>
      </c>
      <c r="I309">
        <v>158.4</v>
      </c>
      <c r="J309">
        <v>188</v>
      </c>
      <c r="K309">
        <v>156.80000000000001</v>
      </c>
      <c r="L309">
        <v>162.19999999999999</v>
      </c>
      <c r="M309">
        <v>164.1</v>
      </c>
      <c r="N309">
        <v>119.7</v>
      </c>
      <c r="O309">
        <v>168.8</v>
      </c>
      <c r="P309">
        <v>162.69999999999999</v>
      </c>
      <c r="Q309">
        <v>173.9</v>
      </c>
      <c r="R309">
        <v>164</v>
      </c>
      <c r="S309">
        <v>192.1</v>
      </c>
      <c r="T309">
        <v>164.5</v>
      </c>
      <c r="U309">
        <v>155.30000000000001</v>
      </c>
      <c r="V309">
        <v>163.19999999999999</v>
      </c>
      <c r="W309">
        <v>162.1</v>
      </c>
      <c r="X309">
        <v>162.6</v>
      </c>
      <c r="Y309">
        <v>157.5</v>
      </c>
      <c r="Z309">
        <v>168.4</v>
      </c>
      <c r="AA309">
        <v>154</v>
      </c>
      <c r="AB309">
        <v>157.6</v>
      </c>
      <c r="AC309">
        <v>163.80000000000001</v>
      </c>
      <c r="AD309">
        <v>160</v>
      </c>
      <c r="AE309">
        <v>160</v>
      </c>
      <c r="AF309">
        <v>163.19999999999999</v>
      </c>
    </row>
    <row r="310" spans="2:32" x14ac:dyDescent="0.3">
      <c r="B310" t="s">
        <v>30</v>
      </c>
      <c r="C310">
        <v>2021</v>
      </c>
      <c r="D310" t="s">
        <v>42</v>
      </c>
      <c r="E310" s="40" t="s">
        <v>194</v>
      </c>
      <c r="F310">
        <v>145.4</v>
      </c>
      <c r="G310">
        <v>202.1</v>
      </c>
      <c r="H310">
        <v>172</v>
      </c>
      <c r="I310">
        <v>158</v>
      </c>
      <c r="J310">
        <v>195.5</v>
      </c>
      <c r="K310">
        <v>152.69999999999999</v>
      </c>
      <c r="L310">
        <v>151.4</v>
      </c>
      <c r="M310">
        <v>163.9</v>
      </c>
      <c r="N310">
        <v>119.3</v>
      </c>
      <c r="O310">
        <v>170.1</v>
      </c>
      <c r="P310">
        <v>168.3</v>
      </c>
      <c r="Q310">
        <v>172.8</v>
      </c>
      <c r="R310">
        <v>162.1</v>
      </c>
      <c r="S310">
        <v>190.5</v>
      </c>
      <c r="T310">
        <v>167.7</v>
      </c>
      <c r="U310">
        <v>163.6</v>
      </c>
      <c r="V310">
        <v>167.1</v>
      </c>
      <c r="W310">
        <v>162.1</v>
      </c>
      <c r="X310">
        <v>163.69999999999999</v>
      </c>
      <c r="Y310">
        <v>161.30000000000001</v>
      </c>
      <c r="Z310">
        <v>171.9</v>
      </c>
      <c r="AA310">
        <v>157.80000000000001</v>
      </c>
      <c r="AB310">
        <v>162.69999999999999</v>
      </c>
      <c r="AC310">
        <v>168.5</v>
      </c>
      <c r="AD310">
        <v>160.19999999999999</v>
      </c>
      <c r="AE310">
        <v>163.80000000000001</v>
      </c>
      <c r="AF310">
        <v>164</v>
      </c>
    </row>
    <row r="311" spans="2:32" x14ac:dyDescent="0.3">
      <c r="B311" t="s">
        <v>33</v>
      </c>
      <c r="C311">
        <v>2021</v>
      </c>
      <c r="D311" t="s">
        <v>42</v>
      </c>
      <c r="E311" s="40" t="s">
        <v>194</v>
      </c>
      <c r="F311">
        <v>149.30000000000001</v>
      </c>
      <c r="G311">
        <v>207.4</v>
      </c>
      <c r="H311">
        <v>174.1</v>
      </c>
      <c r="I311">
        <v>159.1</v>
      </c>
      <c r="J311">
        <v>175</v>
      </c>
      <c r="K311">
        <v>161.19999999999999</v>
      </c>
      <c r="L311">
        <v>183.5</v>
      </c>
      <c r="M311">
        <v>164.5</v>
      </c>
      <c r="N311">
        <v>120.4</v>
      </c>
      <c r="O311">
        <v>166.2</v>
      </c>
      <c r="P311">
        <v>154.80000000000001</v>
      </c>
      <c r="Q311">
        <v>175.1</v>
      </c>
      <c r="R311">
        <v>167.3</v>
      </c>
      <c r="S311">
        <v>196.5</v>
      </c>
      <c r="T311">
        <v>159.80000000000001</v>
      </c>
      <c r="U311">
        <v>143.6</v>
      </c>
      <c r="V311">
        <v>157.4</v>
      </c>
      <c r="W311">
        <v>162.1</v>
      </c>
      <c r="X311">
        <v>160.80000000000001</v>
      </c>
      <c r="Y311">
        <v>153.30000000000001</v>
      </c>
      <c r="Z311">
        <v>162.80000000000001</v>
      </c>
      <c r="AA311">
        <v>150.5</v>
      </c>
      <c r="AB311">
        <v>153.9</v>
      </c>
      <c r="AC311">
        <v>160.30000000000001</v>
      </c>
      <c r="AD311">
        <v>159.6</v>
      </c>
      <c r="AE311">
        <v>156</v>
      </c>
      <c r="AF311">
        <v>162.30000000000001</v>
      </c>
    </row>
    <row r="312" spans="2:32" x14ac:dyDescent="0.3">
      <c r="B312" t="s">
        <v>34</v>
      </c>
      <c r="C312">
        <v>2021</v>
      </c>
      <c r="D312" t="s">
        <v>42</v>
      </c>
      <c r="E312" s="40" t="s">
        <v>194</v>
      </c>
      <c r="F312">
        <v>146.6</v>
      </c>
      <c r="G312">
        <v>204</v>
      </c>
      <c r="H312">
        <v>172.8</v>
      </c>
      <c r="I312">
        <v>158.4</v>
      </c>
      <c r="J312">
        <v>188</v>
      </c>
      <c r="K312">
        <v>156.69999999999999</v>
      </c>
      <c r="L312">
        <v>162.30000000000001</v>
      </c>
      <c r="M312">
        <v>164.1</v>
      </c>
      <c r="N312">
        <v>119.7</v>
      </c>
      <c r="O312">
        <v>168.8</v>
      </c>
      <c r="P312">
        <v>162.69999999999999</v>
      </c>
      <c r="Q312">
        <v>173.9</v>
      </c>
      <c r="R312">
        <v>164</v>
      </c>
      <c r="S312">
        <v>192.1</v>
      </c>
      <c r="T312">
        <v>164.6</v>
      </c>
      <c r="U312">
        <v>155.30000000000001</v>
      </c>
      <c r="V312">
        <v>163.30000000000001</v>
      </c>
      <c r="W312">
        <v>162.1</v>
      </c>
      <c r="X312">
        <v>162.6</v>
      </c>
      <c r="Y312">
        <v>157.5</v>
      </c>
      <c r="Z312">
        <v>168.4</v>
      </c>
      <c r="AA312">
        <v>154</v>
      </c>
      <c r="AB312">
        <v>157.69999999999999</v>
      </c>
      <c r="AC312">
        <v>163.69999999999999</v>
      </c>
      <c r="AD312">
        <v>160</v>
      </c>
      <c r="AE312">
        <v>160</v>
      </c>
      <c r="AF312">
        <v>163.19999999999999</v>
      </c>
    </row>
    <row r="313" spans="2:32" x14ac:dyDescent="0.3">
      <c r="B313" t="s">
        <v>30</v>
      </c>
      <c r="C313">
        <v>2021</v>
      </c>
      <c r="D313" t="s">
        <v>43</v>
      </c>
      <c r="E313" s="40" t="s">
        <v>200</v>
      </c>
      <c r="F313">
        <v>146.1</v>
      </c>
      <c r="G313">
        <v>202.5</v>
      </c>
      <c r="H313">
        <v>170.1</v>
      </c>
      <c r="I313">
        <v>158.4</v>
      </c>
      <c r="J313">
        <v>198.8</v>
      </c>
      <c r="K313">
        <v>152.6</v>
      </c>
      <c r="L313">
        <v>170.4</v>
      </c>
      <c r="M313">
        <v>165.2</v>
      </c>
      <c r="N313">
        <v>121.6</v>
      </c>
      <c r="O313">
        <v>170.6</v>
      </c>
      <c r="P313">
        <v>168.8</v>
      </c>
      <c r="Q313">
        <v>173.6</v>
      </c>
      <c r="R313">
        <v>165.5</v>
      </c>
      <c r="S313">
        <v>191.2</v>
      </c>
      <c r="T313">
        <v>168.9</v>
      </c>
      <c r="U313">
        <v>164.8</v>
      </c>
      <c r="V313">
        <v>168.3</v>
      </c>
      <c r="W313">
        <v>163.6</v>
      </c>
      <c r="X313">
        <v>165.5</v>
      </c>
      <c r="Y313">
        <v>162</v>
      </c>
      <c r="Z313">
        <v>172.5</v>
      </c>
      <c r="AA313">
        <v>159.5</v>
      </c>
      <c r="AB313">
        <v>163.19999999999999</v>
      </c>
      <c r="AC313">
        <v>169</v>
      </c>
      <c r="AD313">
        <v>161.1</v>
      </c>
      <c r="AE313">
        <v>164.7</v>
      </c>
      <c r="AF313">
        <v>166.3</v>
      </c>
    </row>
    <row r="314" spans="2:32" x14ac:dyDescent="0.3">
      <c r="B314" t="s">
        <v>33</v>
      </c>
      <c r="C314">
        <v>2021</v>
      </c>
      <c r="D314" t="s">
        <v>43</v>
      </c>
      <c r="E314" s="40" t="s">
        <v>200</v>
      </c>
      <c r="F314">
        <v>150.1</v>
      </c>
      <c r="G314">
        <v>208.4</v>
      </c>
      <c r="H314">
        <v>173</v>
      </c>
      <c r="I314">
        <v>159.19999999999999</v>
      </c>
      <c r="J314">
        <v>176.6</v>
      </c>
      <c r="K314">
        <v>159.30000000000001</v>
      </c>
      <c r="L314">
        <v>214.4</v>
      </c>
      <c r="M314">
        <v>165.3</v>
      </c>
      <c r="N314">
        <v>122.5</v>
      </c>
      <c r="O314">
        <v>166.8</v>
      </c>
      <c r="P314">
        <v>155.4</v>
      </c>
      <c r="Q314">
        <v>175.9</v>
      </c>
      <c r="R314">
        <v>171.5</v>
      </c>
      <c r="S314">
        <v>197</v>
      </c>
      <c r="T314">
        <v>160.80000000000001</v>
      </c>
      <c r="U314">
        <v>144.4</v>
      </c>
      <c r="V314">
        <v>158.30000000000001</v>
      </c>
      <c r="W314">
        <v>163.6</v>
      </c>
      <c r="X314">
        <v>162.19999999999999</v>
      </c>
      <c r="Y314">
        <v>154.30000000000001</v>
      </c>
      <c r="Z314">
        <v>163.5</v>
      </c>
      <c r="AA314">
        <v>152.19999999999999</v>
      </c>
      <c r="AB314">
        <v>155.1</v>
      </c>
      <c r="AC314">
        <v>160.30000000000001</v>
      </c>
      <c r="AD314">
        <v>160.30000000000001</v>
      </c>
      <c r="AE314">
        <v>157</v>
      </c>
      <c r="AF314">
        <v>164.6</v>
      </c>
    </row>
    <row r="315" spans="2:32" x14ac:dyDescent="0.3">
      <c r="B315" t="s">
        <v>34</v>
      </c>
      <c r="C315">
        <v>2021</v>
      </c>
      <c r="D315" t="s">
        <v>43</v>
      </c>
      <c r="E315" s="40" t="s">
        <v>200</v>
      </c>
      <c r="F315">
        <v>147.4</v>
      </c>
      <c r="G315">
        <v>204.6</v>
      </c>
      <c r="H315">
        <v>171.2</v>
      </c>
      <c r="I315">
        <v>158.69999999999999</v>
      </c>
      <c r="J315">
        <v>190.6</v>
      </c>
      <c r="K315">
        <v>155.69999999999999</v>
      </c>
      <c r="L315">
        <v>185.3</v>
      </c>
      <c r="M315">
        <v>165.2</v>
      </c>
      <c r="N315">
        <v>121.9</v>
      </c>
      <c r="O315">
        <v>169.3</v>
      </c>
      <c r="P315">
        <v>163.19999999999999</v>
      </c>
      <c r="Q315">
        <v>174.7</v>
      </c>
      <c r="R315">
        <v>167.7</v>
      </c>
      <c r="S315">
        <v>192.7</v>
      </c>
      <c r="T315">
        <v>165.7</v>
      </c>
      <c r="U315">
        <v>156.30000000000001</v>
      </c>
      <c r="V315">
        <v>164.3</v>
      </c>
      <c r="W315">
        <v>163.6</v>
      </c>
      <c r="X315">
        <v>164.2</v>
      </c>
      <c r="Y315">
        <v>158.4</v>
      </c>
      <c r="Z315">
        <v>169.1</v>
      </c>
      <c r="AA315">
        <v>155.69999999999999</v>
      </c>
      <c r="AB315">
        <v>158.6</v>
      </c>
      <c r="AC315">
        <v>163.9</v>
      </c>
      <c r="AD315">
        <v>160.80000000000001</v>
      </c>
      <c r="AE315">
        <v>161</v>
      </c>
      <c r="AF315">
        <v>165.5</v>
      </c>
    </row>
    <row r="316" spans="2:32" x14ac:dyDescent="0.3">
      <c r="B316" t="s">
        <v>30</v>
      </c>
      <c r="C316">
        <v>2021</v>
      </c>
      <c r="D316" t="s">
        <v>45</v>
      </c>
      <c r="E316" s="40" t="s">
        <v>201</v>
      </c>
      <c r="F316">
        <v>146.9</v>
      </c>
      <c r="G316">
        <v>199.8</v>
      </c>
      <c r="H316">
        <v>171.5</v>
      </c>
      <c r="I316">
        <v>159.1</v>
      </c>
      <c r="J316">
        <v>198.4</v>
      </c>
      <c r="K316">
        <v>153.19999999999999</v>
      </c>
      <c r="L316">
        <v>183.9</v>
      </c>
      <c r="M316">
        <v>165.4</v>
      </c>
      <c r="N316">
        <v>122.1</v>
      </c>
      <c r="O316">
        <v>170.8</v>
      </c>
      <c r="P316">
        <v>169.1</v>
      </c>
      <c r="Q316">
        <v>174.3</v>
      </c>
      <c r="R316">
        <v>167.5</v>
      </c>
      <c r="S316">
        <v>191.4</v>
      </c>
      <c r="T316">
        <v>170.4</v>
      </c>
      <c r="U316">
        <v>166</v>
      </c>
      <c r="V316">
        <v>169.8</v>
      </c>
      <c r="W316">
        <v>164.2</v>
      </c>
      <c r="X316">
        <v>165.3</v>
      </c>
      <c r="Y316">
        <v>162.9</v>
      </c>
      <c r="Z316">
        <v>173.4</v>
      </c>
      <c r="AA316">
        <v>158.9</v>
      </c>
      <c r="AB316">
        <v>163.80000000000001</v>
      </c>
      <c r="AC316">
        <v>169.3</v>
      </c>
      <c r="AD316">
        <v>162.4</v>
      </c>
      <c r="AE316">
        <v>165.2</v>
      </c>
      <c r="AF316">
        <v>167.6</v>
      </c>
    </row>
    <row r="317" spans="2:32" x14ac:dyDescent="0.3">
      <c r="B317" t="s">
        <v>33</v>
      </c>
      <c r="C317">
        <v>2021</v>
      </c>
      <c r="D317" t="s">
        <v>45</v>
      </c>
      <c r="E317" s="40" t="s">
        <v>201</v>
      </c>
      <c r="F317">
        <v>151</v>
      </c>
      <c r="G317">
        <v>204.9</v>
      </c>
      <c r="H317">
        <v>175.4</v>
      </c>
      <c r="I317">
        <v>159.6</v>
      </c>
      <c r="J317">
        <v>175.8</v>
      </c>
      <c r="K317">
        <v>160.30000000000001</v>
      </c>
      <c r="L317">
        <v>229.1</v>
      </c>
      <c r="M317">
        <v>165.1</v>
      </c>
      <c r="N317">
        <v>123.1</v>
      </c>
      <c r="O317">
        <v>167.2</v>
      </c>
      <c r="P317">
        <v>156.1</v>
      </c>
      <c r="Q317">
        <v>176.8</v>
      </c>
      <c r="R317">
        <v>173.5</v>
      </c>
      <c r="S317">
        <v>197</v>
      </c>
      <c r="T317">
        <v>162.30000000000001</v>
      </c>
      <c r="U317">
        <v>145.30000000000001</v>
      </c>
      <c r="V317">
        <v>159.69999999999999</v>
      </c>
      <c r="W317">
        <v>164.2</v>
      </c>
      <c r="X317">
        <v>161.6</v>
      </c>
      <c r="Y317">
        <v>155.19999999999999</v>
      </c>
      <c r="Z317">
        <v>164.2</v>
      </c>
      <c r="AA317">
        <v>151.19999999999999</v>
      </c>
      <c r="AB317">
        <v>156.69999999999999</v>
      </c>
      <c r="AC317">
        <v>160.80000000000001</v>
      </c>
      <c r="AD317">
        <v>161.80000000000001</v>
      </c>
      <c r="AE317">
        <v>157.30000000000001</v>
      </c>
      <c r="AF317">
        <v>165.6</v>
      </c>
    </row>
    <row r="318" spans="2:32" x14ac:dyDescent="0.3">
      <c r="B318" t="s">
        <v>34</v>
      </c>
      <c r="C318">
        <v>2021</v>
      </c>
      <c r="D318" t="s">
        <v>45</v>
      </c>
      <c r="E318" s="40" t="s">
        <v>201</v>
      </c>
      <c r="F318">
        <v>148.19999999999999</v>
      </c>
      <c r="G318">
        <v>201.6</v>
      </c>
      <c r="H318">
        <v>173</v>
      </c>
      <c r="I318">
        <v>159.30000000000001</v>
      </c>
      <c r="J318">
        <v>190.1</v>
      </c>
      <c r="K318">
        <v>156.5</v>
      </c>
      <c r="L318">
        <v>199.2</v>
      </c>
      <c r="M318">
        <v>165.3</v>
      </c>
      <c r="N318">
        <v>122.4</v>
      </c>
      <c r="O318">
        <v>169.6</v>
      </c>
      <c r="P318">
        <v>163.69999999999999</v>
      </c>
      <c r="Q318">
        <v>175.5</v>
      </c>
      <c r="R318">
        <v>169.7</v>
      </c>
      <c r="S318">
        <v>192.9</v>
      </c>
      <c r="T318">
        <v>167.2</v>
      </c>
      <c r="U318">
        <v>157.4</v>
      </c>
      <c r="V318">
        <v>165.8</v>
      </c>
      <c r="W318">
        <v>164.2</v>
      </c>
      <c r="X318">
        <v>163.9</v>
      </c>
      <c r="Y318">
        <v>159.30000000000001</v>
      </c>
      <c r="Z318">
        <v>169.9</v>
      </c>
      <c r="AA318">
        <v>154.80000000000001</v>
      </c>
      <c r="AB318">
        <v>159.80000000000001</v>
      </c>
      <c r="AC318">
        <v>164.3</v>
      </c>
      <c r="AD318">
        <v>162.19999999999999</v>
      </c>
      <c r="AE318">
        <v>161.4</v>
      </c>
      <c r="AF318">
        <v>166.7</v>
      </c>
    </row>
    <row r="319" spans="2:32" x14ac:dyDescent="0.3">
      <c r="B319" t="s">
        <v>30</v>
      </c>
      <c r="C319">
        <v>2021</v>
      </c>
      <c r="D319" t="s">
        <v>46</v>
      </c>
      <c r="E319" s="40" t="s">
        <v>206</v>
      </c>
      <c r="F319">
        <v>147.4</v>
      </c>
      <c r="G319">
        <v>197</v>
      </c>
      <c r="H319">
        <v>176.5</v>
      </c>
      <c r="I319">
        <v>159.80000000000001</v>
      </c>
      <c r="J319">
        <v>195.8</v>
      </c>
      <c r="K319">
        <v>152</v>
      </c>
      <c r="L319">
        <v>172.3</v>
      </c>
      <c r="M319">
        <v>164.5</v>
      </c>
      <c r="N319">
        <v>120.6</v>
      </c>
      <c r="O319">
        <v>171.7</v>
      </c>
      <c r="P319">
        <v>169.7</v>
      </c>
      <c r="Q319">
        <v>175.1</v>
      </c>
      <c r="R319">
        <v>165.8</v>
      </c>
      <c r="S319">
        <v>190.8</v>
      </c>
      <c r="T319">
        <v>171.8</v>
      </c>
      <c r="U319">
        <v>167.3</v>
      </c>
      <c r="V319">
        <v>171.2</v>
      </c>
      <c r="W319">
        <v>163.4</v>
      </c>
      <c r="X319">
        <v>165.6</v>
      </c>
      <c r="Y319">
        <v>163.9</v>
      </c>
      <c r="Z319">
        <v>174</v>
      </c>
      <c r="AA319">
        <v>160.1</v>
      </c>
      <c r="AB319">
        <v>164.5</v>
      </c>
      <c r="AC319">
        <v>169.7</v>
      </c>
      <c r="AD319">
        <v>162.80000000000001</v>
      </c>
      <c r="AE319">
        <v>166</v>
      </c>
      <c r="AF319">
        <v>167</v>
      </c>
    </row>
    <row r="320" spans="2:32" x14ac:dyDescent="0.3">
      <c r="B320" t="s">
        <v>33</v>
      </c>
      <c r="C320">
        <v>2021</v>
      </c>
      <c r="D320" t="s">
        <v>46</v>
      </c>
      <c r="E320" s="40" t="s">
        <v>206</v>
      </c>
      <c r="F320">
        <v>151.6</v>
      </c>
      <c r="G320">
        <v>202.2</v>
      </c>
      <c r="H320">
        <v>180</v>
      </c>
      <c r="I320">
        <v>160</v>
      </c>
      <c r="J320">
        <v>173.5</v>
      </c>
      <c r="K320">
        <v>158.30000000000001</v>
      </c>
      <c r="L320">
        <v>219.5</v>
      </c>
      <c r="M320">
        <v>164.2</v>
      </c>
      <c r="N320">
        <v>121.9</v>
      </c>
      <c r="O320">
        <v>168.2</v>
      </c>
      <c r="P320">
        <v>156.5</v>
      </c>
      <c r="Q320">
        <v>178.2</v>
      </c>
      <c r="R320">
        <v>172.2</v>
      </c>
      <c r="S320">
        <v>196.8</v>
      </c>
      <c r="T320">
        <v>163.30000000000001</v>
      </c>
      <c r="U320">
        <v>146.69999999999999</v>
      </c>
      <c r="V320">
        <v>160.69999999999999</v>
      </c>
      <c r="W320">
        <v>163.4</v>
      </c>
      <c r="X320">
        <v>161.69999999999999</v>
      </c>
      <c r="Y320">
        <v>156</v>
      </c>
      <c r="Z320">
        <v>165.1</v>
      </c>
      <c r="AA320">
        <v>151.80000000000001</v>
      </c>
      <c r="AB320">
        <v>157.6</v>
      </c>
      <c r="AC320">
        <v>160.6</v>
      </c>
      <c r="AD320">
        <v>162.4</v>
      </c>
      <c r="AE320">
        <v>157.80000000000001</v>
      </c>
      <c r="AF320">
        <v>165.2</v>
      </c>
    </row>
    <row r="321" spans="2:32" x14ac:dyDescent="0.3">
      <c r="B321" t="s">
        <v>34</v>
      </c>
      <c r="C321">
        <v>2021</v>
      </c>
      <c r="D321" t="s">
        <v>46</v>
      </c>
      <c r="E321" s="40" t="s">
        <v>206</v>
      </c>
      <c r="F321">
        <v>148.69999999999999</v>
      </c>
      <c r="G321">
        <v>198.8</v>
      </c>
      <c r="H321">
        <v>177.9</v>
      </c>
      <c r="I321">
        <v>159.9</v>
      </c>
      <c r="J321">
        <v>187.6</v>
      </c>
      <c r="K321">
        <v>154.9</v>
      </c>
      <c r="L321">
        <v>188.3</v>
      </c>
      <c r="M321">
        <v>164.4</v>
      </c>
      <c r="N321">
        <v>121</v>
      </c>
      <c r="O321">
        <v>170.5</v>
      </c>
      <c r="P321">
        <v>164.2</v>
      </c>
      <c r="Q321">
        <v>176.5</v>
      </c>
      <c r="R321">
        <v>168.2</v>
      </c>
      <c r="S321">
        <v>192.4</v>
      </c>
      <c r="T321">
        <v>168.5</v>
      </c>
      <c r="U321">
        <v>158.69999999999999</v>
      </c>
      <c r="V321">
        <v>167</v>
      </c>
      <c r="W321">
        <v>163.4</v>
      </c>
      <c r="X321">
        <v>164.1</v>
      </c>
      <c r="Y321">
        <v>160.19999999999999</v>
      </c>
      <c r="Z321">
        <v>170.6</v>
      </c>
      <c r="AA321">
        <v>155.69999999999999</v>
      </c>
      <c r="AB321">
        <v>160.6</v>
      </c>
      <c r="AC321">
        <v>164.4</v>
      </c>
      <c r="AD321">
        <v>162.6</v>
      </c>
      <c r="AE321">
        <v>162</v>
      </c>
      <c r="AF321">
        <v>166.2</v>
      </c>
    </row>
    <row r="322" spans="2:32" x14ac:dyDescent="0.3">
      <c r="B322" t="s">
        <v>30</v>
      </c>
      <c r="C322">
        <v>2022</v>
      </c>
      <c r="D322" t="s">
        <v>31</v>
      </c>
      <c r="E322" s="40" t="s">
        <v>202</v>
      </c>
      <c r="F322">
        <v>148.30000000000001</v>
      </c>
      <c r="G322">
        <v>196.9</v>
      </c>
      <c r="H322">
        <v>178</v>
      </c>
      <c r="I322">
        <v>160.5</v>
      </c>
      <c r="J322">
        <v>192.6</v>
      </c>
      <c r="K322">
        <v>151.19999999999999</v>
      </c>
      <c r="L322">
        <v>159.19999999999999</v>
      </c>
      <c r="M322">
        <v>164</v>
      </c>
      <c r="N322">
        <v>119.3</v>
      </c>
      <c r="O322">
        <v>173.3</v>
      </c>
      <c r="P322">
        <v>169.8</v>
      </c>
      <c r="Q322">
        <v>175.8</v>
      </c>
      <c r="R322">
        <v>164.1</v>
      </c>
      <c r="S322">
        <v>190.7</v>
      </c>
      <c r="T322">
        <v>173.2</v>
      </c>
      <c r="U322">
        <v>169.3</v>
      </c>
      <c r="V322">
        <v>172.7</v>
      </c>
      <c r="W322">
        <v>164.5</v>
      </c>
      <c r="X322">
        <v>165.8</v>
      </c>
      <c r="Y322">
        <v>164.9</v>
      </c>
      <c r="Z322">
        <v>174.7</v>
      </c>
      <c r="AA322">
        <v>160.80000000000001</v>
      </c>
      <c r="AB322">
        <v>164.9</v>
      </c>
      <c r="AC322">
        <v>169.9</v>
      </c>
      <c r="AD322">
        <v>163.19999999999999</v>
      </c>
      <c r="AE322">
        <v>166.6</v>
      </c>
      <c r="AF322">
        <v>166.4</v>
      </c>
    </row>
    <row r="323" spans="2:32" x14ac:dyDescent="0.3">
      <c r="B323" t="s">
        <v>33</v>
      </c>
      <c r="C323">
        <v>2022</v>
      </c>
      <c r="D323" t="s">
        <v>31</v>
      </c>
      <c r="E323" s="40" t="s">
        <v>202</v>
      </c>
      <c r="F323">
        <v>152.19999999999999</v>
      </c>
      <c r="G323">
        <v>202.1</v>
      </c>
      <c r="H323">
        <v>180.1</v>
      </c>
      <c r="I323">
        <v>160.4</v>
      </c>
      <c r="J323">
        <v>171</v>
      </c>
      <c r="K323">
        <v>156.5</v>
      </c>
      <c r="L323">
        <v>203.6</v>
      </c>
      <c r="M323">
        <v>163.80000000000001</v>
      </c>
      <c r="N323">
        <v>121.3</v>
      </c>
      <c r="O323">
        <v>169.8</v>
      </c>
      <c r="P323">
        <v>156.6</v>
      </c>
      <c r="Q323">
        <v>179</v>
      </c>
      <c r="R323">
        <v>170.3</v>
      </c>
      <c r="S323">
        <v>196.4</v>
      </c>
      <c r="T323">
        <v>164.7</v>
      </c>
      <c r="U323">
        <v>148.5</v>
      </c>
      <c r="V323">
        <v>162.19999999999999</v>
      </c>
      <c r="W323">
        <v>164.5</v>
      </c>
      <c r="X323">
        <v>161.6</v>
      </c>
      <c r="Y323">
        <v>156.80000000000001</v>
      </c>
      <c r="Z323">
        <v>166.1</v>
      </c>
      <c r="AA323">
        <v>152.69999999999999</v>
      </c>
      <c r="AB323">
        <v>158.4</v>
      </c>
      <c r="AC323">
        <v>161</v>
      </c>
      <c r="AD323">
        <v>162.80000000000001</v>
      </c>
      <c r="AE323">
        <v>158.6</v>
      </c>
      <c r="AF323">
        <v>165</v>
      </c>
    </row>
    <row r="324" spans="2:32" x14ac:dyDescent="0.3">
      <c r="B324" t="s">
        <v>34</v>
      </c>
      <c r="C324">
        <v>2022</v>
      </c>
      <c r="D324" t="s">
        <v>31</v>
      </c>
      <c r="E324" s="40" t="s">
        <v>202</v>
      </c>
      <c r="F324">
        <v>149.5</v>
      </c>
      <c r="G324">
        <v>198.7</v>
      </c>
      <c r="H324">
        <v>178.8</v>
      </c>
      <c r="I324">
        <v>160.5</v>
      </c>
      <c r="J324">
        <v>184.7</v>
      </c>
      <c r="K324">
        <v>153.69999999999999</v>
      </c>
      <c r="L324">
        <v>174.3</v>
      </c>
      <c r="M324">
        <v>163.9</v>
      </c>
      <c r="N324">
        <v>120</v>
      </c>
      <c r="O324">
        <v>172.1</v>
      </c>
      <c r="P324">
        <v>164.3</v>
      </c>
      <c r="Q324">
        <v>177.3</v>
      </c>
      <c r="R324">
        <v>166.4</v>
      </c>
      <c r="S324">
        <v>192.2</v>
      </c>
      <c r="T324">
        <v>169.9</v>
      </c>
      <c r="U324">
        <v>160.69999999999999</v>
      </c>
      <c r="V324">
        <v>168.5</v>
      </c>
      <c r="W324">
        <v>164.5</v>
      </c>
      <c r="X324">
        <v>164.2</v>
      </c>
      <c r="Y324">
        <v>161.1</v>
      </c>
      <c r="Z324">
        <v>171.4</v>
      </c>
      <c r="AA324">
        <v>156.5</v>
      </c>
      <c r="AB324">
        <v>161.19999999999999</v>
      </c>
      <c r="AC324">
        <v>164.7</v>
      </c>
      <c r="AD324">
        <v>163</v>
      </c>
      <c r="AE324">
        <v>162.69999999999999</v>
      </c>
      <c r="AF324">
        <v>165.7</v>
      </c>
    </row>
    <row r="325" spans="2:32" x14ac:dyDescent="0.3">
      <c r="B325" t="s">
        <v>30</v>
      </c>
      <c r="C325">
        <v>2022</v>
      </c>
      <c r="D325" t="s">
        <v>35</v>
      </c>
      <c r="E325" s="40" t="s">
        <v>204</v>
      </c>
      <c r="F325">
        <v>148.80000000000001</v>
      </c>
      <c r="G325">
        <v>198.1</v>
      </c>
      <c r="H325">
        <v>175.5</v>
      </c>
      <c r="I325">
        <v>160.69999999999999</v>
      </c>
      <c r="J325">
        <v>192.6</v>
      </c>
      <c r="K325">
        <v>151.4</v>
      </c>
      <c r="L325">
        <v>155.19999999999999</v>
      </c>
      <c r="M325">
        <v>163.9</v>
      </c>
      <c r="N325">
        <v>118.1</v>
      </c>
      <c r="O325">
        <v>175.4</v>
      </c>
      <c r="P325">
        <v>170.5</v>
      </c>
      <c r="Q325">
        <v>176.3</v>
      </c>
      <c r="R325">
        <v>163.9</v>
      </c>
      <c r="S325">
        <v>191.5</v>
      </c>
      <c r="T325">
        <v>174.1</v>
      </c>
      <c r="U325">
        <v>171</v>
      </c>
      <c r="V325">
        <v>173.7</v>
      </c>
      <c r="W325">
        <v>165.5</v>
      </c>
      <c r="X325">
        <v>167.4</v>
      </c>
      <c r="Y325">
        <v>165.7</v>
      </c>
      <c r="Z325">
        <v>175.3</v>
      </c>
      <c r="AA325">
        <v>161.19999999999999</v>
      </c>
      <c r="AB325">
        <v>165.5</v>
      </c>
      <c r="AC325">
        <v>170.3</v>
      </c>
      <c r="AD325">
        <v>164.5</v>
      </c>
      <c r="AE325">
        <v>167.3</v>
      </c>
      <c r="AF325">
        <v>166.7</v>
      </c>
    </row>
    <row r="326" spans="2:32" x14ac:dyDescent="0.3">
      <c r="B326" t="s">
        <v>33</v>
      </c>
      <c r="C326">
        <v>2022</v>
      </c>
      <c r="D326" t="s">
        <v>35</v>
      </c>
      <c r="E326" s="40" t="s">
        <v>204</v>
      </c>
      <c r="F326">
        <v>152.5</v>
      </c>
      <c r="G326">
        <v>205.2</v>
      </c>
      <c r="H326">
        <v>176.4</v>
      </c>
      <c r="I326">
        <v>160.6</v>
      </c>
      <c r="J326">
        <v>171.5</v>
      </c>
      <c r="K326">
        <v>156.4</v>
      </c>
      <c r="L326">
        <v>198</v>
      </c>
      <c r="M326">
        <v>163.19999999999999</v>
      </c>
      <c r="N326">
        <v>120.6</v>
      </c>
      <c r="O326">
        <v>172.2</v>
      </c>
      <c r="P326">
        <v>156.69999999999999</v>
      </c>
      <c r="Q326">
        <v>180</v>
      </c>
      <c r="R326">
        <v>170.2</v>
      </c>
      <c r="S326">
        <v>196.5</v>
      </c>
      <c r="T326">
        <v>165.7</v>
      </c>
      <c r="U326">
        <v>150.4</v>
      </c>
      <c r="V326">
        <v>163.4</v>
      </c>
      <c r="W326">
        <v>165.5</v>
      </c>
      <c r="X326">
        <v>163</v>
      </c>
      <c r="Y326">
        <v>157.4</v>
      </c>
      <c r="Z326">
        <v>167.2</v>
      </c>
      <c r="AA326">
        <v>153.1</v>
      </c>
      <c r="AB326">
        <v>159.5</v>
      </c>
      <c r="AC326">
        <v>162</v>
      </c>
      <c r="AD326">
        <v>164.2</v>
      </c>
      <c r="AE326">
        <v>159.4</v>
      </c>
      <c r="AF326">
        <v>165.5</v>
      </c>
    </row>
    <row r="327" spans="2:32" x14ac:dyDescent="0.3">
      <c r="B327" t="s">
        <v>34</v>
      </c>
      <c r="C327">
        <v>2022</v>
      </c>
      <c r="D327" t="s">
        <v>35</v>
      </c>
      <c r="E327" s="40" t="s">
        <v>204</v>
      </c>
      <c r="F327">
        <v>150</v>
      </c>
      <c r="G327">
        <v>200.6</v>
      </c>
      <c r="H327">
        <v>175.8</v>
      </c>
      <c r="I327">
        <v>160.69999999999999</v>
      </c>
      <c r="J327">
        <v>184.9</v>
      </c>
      <c r="K327">
        <v>153.69999999999999</v>
      </c>
      <c r="L327">
        <v>169.7</v>
      </c>
      <c r="M327">
        <v>163.69999999999999</v>
      </c>
      <c r="N327">
        <v>118.9</v>
      </c>
      <c r="O327">
        <v>174.3</v>
      </c>
      <c r="P327">
        <v>164.7</v>
      </c>
      <c r="Q327">
        <v>178</v>
      </c>
      <c r="R327">
        <v>166.2</v>
      </c>
      <c r="S327">
        <v>192.8</v>
      </c>
      <c r="T327">
        <v>170.8</v>
      </c>
      <c r="U327">
        <v>162.4</v>
      </c>
      <c r="V327">
        <v>169.6</v>
      </c>
      <c r="W327">
        <v>165.5</v>
      </c>
      <c r="X327">
        <v>165.7</v>
      </c>
      <c r="Y327">
        <v>161.80000000000001</v>
      </c>
      <c r="Z327">
        <v>172.2</v>
      </c>
      <c r="AA327">
        <v>156.9</v>
      </c>
      <c r="AB327">
        <v>162.1</v>
      </c>
      <c r="AC327">
        <v>165.4</v>
      </c>
      <c r="AD327">
        <v>164.4</v>
      </c>
      <c r="AE327">
        <v>163.5</v>
      </c>
      <c r="AF327">
        <v>166.1</v>
      </c>
    </row>
    <row r="328" spans="2:32" x14ac:dyDescent="0.3">
      <c r="B328" t="s">
        <v>30</v>
      </c>
      <c r="C328">
        <v>2022</v>
      </c>
      <c r="D328" t="s">
        <v>36</v>
      </c>
      <c r="E328" s="40" t="s">
        <v>196</v>
      </c>
      <c r="F328">
        <v>150.19999999999999</v>
      </c>
      <c r="G328">
        <v>208</v>
      </c>
      <c r="H328">
        <v>167.9</v>
      </c>
      <c r="I328">
        <v>162</v>
      </c>
      <c r="J328">
        <v>203.1</v>
      </c>
      <c r="K328">
        <v>155.9</v>
      </c>
      <c r="L328">
        <v>155.80000000000001</v>
      </c>
      <c r="M328">
        <v>164.2</v>
      </c>
      <c r="N328">
        <v>118.1</v>
      </c>
      <c r="O328">
        <v>178.7</v>
      </c>
      <c r="P328">
        <v>171.2</v>
      </c>
      <c r="Q328">
        <v>177.4</v>
      </c>
      <c r="R328">
        <v>166.6</v>
      </c>
      <c r="S328">
        <v>192.3</v>
      </c>
      <c r="T328">
        <v>175.4</v>
      </c>
      <c r="U328">
        <v>173.2</v>
      </c>
      <c r="V328">
        <v>175.1</v>
      </c>
      <c r="W328">
        <v>165.3</v>
      </c>
      <c r="X328">
        <v>168.9</v>
      </c>
      <c r="Y328">
        <v>166.5</v>
      </c>
      <c r="Z328">
        <v>176</v>
      </c>
      <c r="AA328">
        <v>162</v>
      </c>
      <c r="AB328">
        <v>166.6</v>
      </c>
      <c r="AC328">
        <v>170.6</v>
      </c>
      <c r="AD328">
        <v>167.4</v>
      </c>
      <c r="AE328">
        <v>168.3</v>
      </c>
      <c r="AF328">
        <v>168.7</v>
      </c>
    </row>
    <row r="329" spans="2:32" x14ac:dyDescent="0.3">
      <c r="B329" t="s">
        <v>33</v>
      </c>
      <c r="C329">
        <v>2022</v>
      </c>
      <c r="D329" t="s">
        <v>36</v>
      </c>
      <c r="E329" s="40" t="s">
        <v>196</v>
      </c>
      <c r="F329">
        <v>153.69999999999999</v>
      </c>
      <c r="G329">
        <v>215.8</v>
      </c>
      <c r="H329">
        <v>167.7</v>
      </c>
      <c r="I329">
        <v>162.6</v>
      </c>
      <c r="J329">
        <v>180</v>
      </c>
      <c r="K329">
        <v>159.6</v>
      </c>
      <c r="L329">
        <v>188.4</v>
      </c>
      <c r="M329">
        <v>163.4</v>
      </c>
      <c r="N329">
        <v>120.3</v>
      </c>
      <c r="O329">
        <v>174.7</v>
      </c>
      <c r="P329">
        <v>157.1</v>
      </c>
      <c r="Q329">
        <v>181.5</v>
      </c>
      <c r="R329">
        <v>171.5</v>
      </c>
      <c r="S329">
        <v>197.5</v>
      </c>
      <c r="T329">
        <v>167.1</v>
      </c>
      <c r="U329">
        <v>152.6</v>
      </c>
      <c r="V329">
        <v>164.9</v>
      </c>
      <c r="W329">
        <v>165.3</v>
      </c>
      <c r="X329">
        <v>164.5</v>
      </c>
      <c r="Y329">
        <v>158.6</v>
      </c>
      <c r="Z329">
        <v>168.2</v>
      </c>
      <c r="AA329">
        <v>154.19999999999999</v>
      </c>
      <c r="AB329">
        <v>160.80000000000001</v>
      </c>
      <c r="AC329">
        <v>162.69999999999999</v>
      </c>
      <c r="AD329">
        <v>166.8</v>
      </c>
      <c r="AE329">
        <v>160.6</v>
      </c>
      <c r="AF329">
        <v>166.5</v>
      </c>
    </row>
    <row r="330" spans="2:32" x14ac:dyDescent="0.3">
      <c r="B330" t="s">
        <v>34</v>
      </c>
      <c r="C330">
        <v>2022</v>
      </c>
      <c r="D330" t="s">
        <v>36</v>
      </c>
      <c r="E330" s="40" t="s">
        <v>196</v>
      </c>
      <c r="F330">
        <v>151.30000000000001</v>
      </c>
      <c r="G330">
        <v>210.7</v>
      </c>
      <c r="H330">
        <v>167.8</v>
      </c>
      <c r="I330">
        <v>162.19999999999999</v>
      </c>
      <c r="J330">
        <v>194.6</v>
      </c>
      <c r="K330">
        <v>157.6</v>
      </c>
      <c r="L330">
        <v>166.9</v>
      </c>
      <c r="M330">
        <v>163.9</v>
      </c>
      <c r="N330">
        <v>118.8</v>
      </c>
      <c r="O330">
        <v>177.4</v>
      </c>
      <c r="P330">
        <v>165.3</v>
      </c>
      <c r="Q330">
        <v>179.3</v>
      </c>
      <c r="R330">
        <v>168.4</v>
      </c>
      <c r="S330">
        <v>193.7</v>
      </c>
      <c r="T330">
        <v>172.1</v>
      </c>
      <c r="U330">
        <v>164.6</v>
      </c>
      <c r="V330">
        <v>171.1</v>
      </c>
      <c r="W330">
        <v>165.3</v>
      </c>
      <c r="X330">
        <v>167.2</v>
      </c>
      <c r="Y330">
        <v>162.80000000000001</v>
      </c>
      <c r="Z330">
        <v>173</v>
      </c>
      <c r="AA330">
        <v>157.9</v>
      </c>
      <c r="AB330">
        <v>163.30000000000001</v>
      </c>
      <c r="AC330">
        <v>166</v>
      </c>
      <c r="AD330">
        <v>167.2</v>
      </c>
      <c r="AE330">
        <v>164.6</v>
      </c>
      <c r="AF330">
        <v>167.7</v>
      </c>
    </row>
    <row r="331" spans="2:32" x14ac:dyDescent="0.3">
      <c r="B331" t="s">
        <v>30</v>
      </c>
      <c r="C331">
        <v>2022</v>
      </c>
      <c r="D331" t="s">
        <v>37</v>
      </c>
      <c r="E331" s="40" t="s">
        <v>208</v>
      </c>
      <c r="F331">
        <v>151.80000000000001</v>
      </c>
      <c r="G331">
        <v>209.7</v>
      </c>
      <c r="H331">
        <v>164.5</v>
      </c>
      <c r="I331">
        <v>163.80000000000001</v>
      </c>
      <c r="J331">
        <v>207.4</v>
      </c>
      <c r="K331">
        <v>169.7</v>
      </c>
      <c r="L331">
        <v>153.6</v>
      </c>
      <c r="M331">
        <v>165.1</v>
      </c>
      <c r="N331">
        <v>118.2</v>
      </c>
      <c r="O331">
        <v>182.9</v>
      </c>
      <c r="P331">
        <v>172.4</v>
      </c>
      <c r="Q331">
        <v>178.9</v>
      </c>
      <c r="R331">
        <v>168.6</v>
      </c>
      <c r="S331">
        <v>192.8</v>
      </c>
      <c r="T331">
        <v>177.5</v>
      </c>
      <c r="U331">
        <v>175.1</v>
      </c>
      <c r="V331">
        <v>177.1</v>
      </c>
      <c r="W331">
        <v>167</v>
      </c>
      <c r="X331">
        <v>173.3</v>
      </c>
      <c r="Y331">
        <v>167.7</v>
      </c>
      <c r="Z331">
        <v>177</v>
      </c>
      <c r="AA331">
        <v>166.2</v>
      </c>
      <c r="AB331">
        <v>167.2</v>
      </c>
      <c r="AC331">
        <v>170.9</v>
      </c>
      <c r="AD331">
        <v>169</v>
      </c>
      <c r="AE331">
        <v>170.2</v>
      </c>
      <c r="AF331">
        <v>170.8</v>
      </c>
    </row>
    <row r="332" spans="2:32" x14ac:dyDescent="0.3">
      <c r="B332" t="s">
        <v>33</v>
      </c>
      <c r="C332">
        <v>2022</v>
      </c>
      <c r="D332" t="s">
        <v>37</v>
      </c>
      <c r="E332" s="40" t="s">
        <v>208</v>
      </c>
      <c r="F332">
        <v>155.4</v>
      </c>
      <c r="G332">
        <v>215.8</v>
      </c>
      <c r="H332">
        <v>164.6</v>
      </c>
      <c r="I332">
        <v>164.2</v>
      </c>
      <c r="J332">
        <v>186</v>
      </c>
      <c r="K332">
        <v>175.9</v>
      </c>
      <c r="L332">
        <v>190.7</v>
      </c>
      <c r="M332">
        <v>164</v>
      </c>
      <c r="N332">
        <v>120.5</v>
      </c>
      <c r="O332">
        <v>178</v>
      </c>
      <c r="P332">
        <v>157.5</v>
      </c>
      <c r="Q332">
        <v>183.3</v>
      </c>
      <c r="R332">
        <v>174.5</v>
      </c>
      <c r="S332">
        <v>197.1</v>
      </c>
      <c r="T332">
        <v>168.4</v>
      </c>
      <c r="U332">
        <v>154.5</v>
      </c>
      <c r="V332">
        <v>166.3</v>
      </c>
      <c r="W332">
        <v>167</v>
      </c>
      <c r="X332">
        <v>170.5</v>
      </c>
      <c r="Y332">
        <v>159.80000000000001</v>
      </c>
      <c r="Z332">
        <v>169</v>
      </c>
      <c r="AA332">
        <v>159.30000000000001</v>
      </c>
      <c r="AB332">
        <v>162.19999999999999</v>
      </c>
      <c r="AC332">
        <v>164</v>
      </c>
      <c r="AD332">
        <v>168.4</v>
      </c>
      <c r="AE332">
        <v>163.1</v>
      </c>
      <c r="AF332">
        <v>169.2</v>
      </c>
    </row>
    <row r="333" spans="2:32" x14ac:dyDescent="0.3">
      <c r="B333" t="s">
        <v>34</v>
      </c>
      <c r="C333">
        <v>2022</v>
      </c>
      <c r="D333" t="s">
        <v>37</v>
      </c>
      <c r="E333" s="40" t="s">
        <v>208</v>
      </c>
      <c r="F333">
        <v>152.9</v>
      </c>
      <c r="G333">
        <v>211.8</v>
      </c>
      <c r="H333">
        <v>164.5</v>
      </c>
      <c r="I333">
        <v>163.9</v>
      </c>
      <c r="J333">
        <v>199.5</v>
      </c>
      <c r="K333">
        <v>172.6</v>
      </c>
      <c r="L333">
        <v>166.2</v>
      </c>
      <c r="M333">
        <v>164.7</v>
      </c>
      <c r="N333">
        <v>119</v>
      </c>
      <c r="O333">
        <v>181.3</v>
      </c>
      <c r="P333">
        <v>166.2</v>
      </c>
      <c r="Q333">
        <v>180.9</v>
      </c>
      <c r="R333">
        <v>170.8</v>
      </c>
      <c r="S333">
        <v>193.9</v>
      </c>
      <c r="T333">
        <v>173.9</v>
      </c>
      <c r="U333">
        <v>166.5</v>
      </c>
      <c r="V333">
        <v>172.8</v>
      </c>
      <c r="W333">
        <v>167</v>
      </c>
      <c r="X333">
        <v>172.2</v>
      </c>
      <c r="Y333">
        <v>164</v>
      </c>
      <c r="Z333">
        <v>174</v>
      </c>
      <c r="AA333">
        <v>162.6</v>
      </c>
      <c r="AB333">
        <v>164.4</v>
      </c>
      <c r="AC333">
        <v>166.9</v>
      </c>
      <c r="AD333">
        <v>168.8</v>
      </c>
      <c r="AE333">
        <v>166.8</v>
      </c>
      <c r="AF333">
        <v>170.1</v>
      </c>
    </row>
    <row r="334" spans="2:32" x14ac:dyDescent="0.3">
      <c r="B334" t="s">
        <v>30</v>
      </c>
      <c r="C334">
        <v>2022</v>
      </c>
      <c r="D334" t="s">
        <v>38</v>
      </c>
      <c r="E334" s="40" t="s">
        <v>113</v>
      </c>
      <c r="F334">
        <v>152.9</v>
      </c>
      <c r="G334">
        <v>214.7</v>
      </c>
      <c r="H334">
        <v>161.4</v>
      </c>
      <c r="I334">
        <v>164.6</v>
      </c>
      <c r="J334">
        <v>209.9</v>
      </c>
      <c r="K334">
        <v>168</v>
      </c>
      <c r="L334">
        <v>160.4</v>
      </c>
      <c r="M334">
        <v>165</v>
      </c>
      <c r="N334">
        <v>118.9</v>
      </c>
      <c r="O334">
        <v>186.6</v>
      </c>
      <c r="P334">
        <v>173.2</v>
      </c>
      <c r="Q334">
        <v>180.4</v>
      </c>
      <c r="R334">
        <v>170.8</v>
      </c>
      <c r="S334">
        <v>192.9</v>
      </c>
      <c r="T334">
        <v>179.3</v>
      </c>
      <c r="U334">
        <v>177.2</v>
      </c>
      <c r="V334">
        <v>179</v>
      </c>
      <c r="W334">
        <v>167.5</v>
      </c>
      <c r="X334">
        <v>175.3</v>
      </c>
      <c r="Y334">
        <v>168.9</v>
      </c>
      <c r="Z334">
        <v>177.7</v>
      </c>
      <c r="AA334">
        <v>167.1</v>
      </c>
      <c r="AB334">
        <v>167.6</v>
      </c>
      <c r="AC334">
        <v>171.8</v>
      </c>
      <c r="AD334">
        <v>168.5</v>
      </c>
      <c r="AE334">
        <v>170.9</v>
      </c>
      <c r="AF334">
        <v>172.5</v>
      </c>
    </row>
    <row r="335" spans="2:32" x14ac:dyDescent="0.3">
      <c r="B335" t="s">
        <v>33</v>
      </c>
      <c r="C335">
        <v>2022</v>
      </c>
      <c r="D335" t="s">
        <v>38</v>
      </c>
      <c r="E335" s="40" t="s">
        <v>113</v>
      </c>
      <c r="F335">
        <v>156.69999999999999</v>
      </c>
      <c r="G335">
        <v>221.2</v>
      </c>
      <c r="H335">
        <v>164.1</v>
      </c>
      <c r="I335">
        <v>165.4</v>
      </c>
      <c r="J335">
        <v>189.5</v>
      </c>
      <c r="K335">
        <v>174.5</v>
      </c>
      <c r="L335">
        <v>203.2</v>
      </c>
      <c r="M335">
        <v>164.1</v>
      </c>
      <c r="N335">
        <v>121.2</v>
      </c>
      <c r="O335">
        <v>181.4</v>
      </c>
      <c r="P335">
        <v>158.5</v>
      </c>
      <c r="Q335">
        <v>184.9</v>
      </c>
      <c r="R335">
        <v>177.5</v>
      </c>
      <c r="S335">
        <v>197.5</v>
      </c>
      <c r="T335">
        <v>170</v>
      </c>
      <c r="U335">
        <v>155.9</v>
      </c>
      <c r="V335">
        <v>167.8</v>
      </c>
      <c r="W335">
        <v>167.5</v>
      </c>
      <c r="X335">
        <v>173.5</v>
      </c>
      <c r="Y335">
        <v>161.1</v>
      </c>
      <c r="Z335">
        <v>170.1</v>
      </c>
      <c r="AA335">
        <v>159.4</v>
      </c>
      <c r="AB335">
        <v>163.19999999999999</v>
      </c>
      <c r="AC335">
        <v>165.2</v>
      </c>
      <c r="AD335">
        <v>168.2</v>
      </c>
      <c r="AE335">
        <v>163.80000000000001</v>
      </c>
      <c r="AF335">
        <v>170.8</v>
      </c>
    </row>
    <row r="336" spans="2:32" x14ac:dyDescent="0.3">
      <c r="B336" t="s">
        <v>34</v>
      </c>
      <c r="C336">
        <v>2022</v>
      </c>
      <c r="D336" t="s">
        <v>38</v>
      </c>
      <c r="E336" s="40" t="s">
        <v>113</v>
      </c>
      <c r="F336">
        <v>154.1</v>
      </c>
      <c r="G336">
        <v>217</v>
      </c>
      <c r="H336">
        <v>162.4</v>
      </c>
      <c r="I336">
        <v>164.9</v>
      </c>
      <c r="J336">
        <v>202.4</v>
      </c>
      <c r="K336">
        <v>171</v>
      </c>
      <c r="L336">
        <v>174.9</v>
      </c>
      <c r="M336">
        <v>164.7</v>
      </c>
      <c r="N336">
        <v>119.7</v>
      </c>
      <c r="O336">
        <v>184.9</v>
      </c>
      <c r="P336">
        <v>167.1</v>
      </c>
      <c r="Q336">
        <v>182.5</v>
      </c>
      <c r="R336">
        <v>173.3</v>
      </c>
      <c r="S336">
        <v>194.1</v>
      </c>
      <c r="T336">
        <v>175.6</v>
      </c>
      <c r="U336">
        <v>168.4</v>
      </c>
      <c r="V336">
        <v>174.6</v>
      </c>
      <c r="W336">
        <v>167.5</v>
      </c>
      <c r="X336">
        <v>174.6</v>
      </c>
      <c r="Y336">
        <v>165.2</v>
      </c>
      <c r="Z336">
        <v>174.8</v>
      </c>
      <c r="AA336">
        <v>163</v>
      </c>
      <c r="AB336">
        <v>165.1</v>
      </c>
      <c r="AC336">
        <v>167.9</v>
      </c>
      <c r="AD336">
        <v>168.4</v>
      </c>
      <c r="AE336">
        <v>167.5</v>
      </c>
      <c r="AF336">
        <v>171.7</v>
      </c>
    </row>
    <row r="337" spans="2:32" x14ac:dyDescent="0.3">
      <c r="B337" t="s">
        <v>30</v>
      </c>
      <c r="C337">
        <v>2022</v>
      </c>
      <c r="D337" t="s">
        <v>39</v>
      </c>
      <c r="E337" s="40" t="s">
        <v>115</v>
      </c>
      <c r="F337">
        <v>153.80000000000001</v>
      </c>
      <c r="G337">
        <v>217.2</v>
      </c>
      <c r="H337">
        <v>169.6</v>
      </c>
      <c r="I337">
        <v>165.4</v>
      </c>
      <c r="J337">
        <v>208.1</v>
      </c>
      <c r="K337">
        <v>165.8</v>
      </c>
      <c r="L337">
        <v>167.3</v>
      </c>
      <c r="M337">
        <v>164.6</v>
      </c>
      <c r="N337">
        <v>119.1</v>
      </c>
      <c r="O337">
        <v>188.9</v>
      </c>
      <c r="P337">
        <v>174.2</v>
      </c>
      <c r="Q337">
        <v>181.9</v>
      </c>
      <c r="R337">
        <v>172.4</v>
      </c>
      <c r="S337">
        <v>192.9</v>
      </c>
      <c r="T337">
        <v>180.7</v>
      </c>
      <c r="U337">
        <v>178.7</v>
      </c>
      <c r="V337">
        <v>180.4</v>
      </c>
      <c r="W337">
        <v>166.8</v>
      </c>
      <c r="X337">
        <v>176.7</v>
      </c>
      <c r="Y337">
        <v>170.3</v>
      </c>
      <c r="Z337">
        <v>178.2</v>
      </c>
      <c r="AA337">
        <v>165.5</v>
      </c>
      <c r="AB337">
        <v>168</v>
      </c>
      <c r="AC337">
        <v>172.6</v>
      </c>
      <c r="AD337">
        <v>169.5</v>
      </c>
      <c r="AE337">
        <v>171</v>
      </c>
      <c r="AF337">
        <v>173.6</v>
      </c>
    </row>
    <row r="338" spans="2:32" x14ac:dyDescent="0.3">
      <c r="B338" t="s">
        <v>33</v>
      </c>
      <c r="C338">
        <v>2022</v>
      </c>
      <c r="D338" t="s">
        <v>39</v>
      </c>
      <c r="E338" s="40" t="s">
        <v>115</v>
      </c>
      <c r="F338">
        <v>157.5</v>
      </c>
      <c r="G338">
        <v>223.4</v>
      </c>
      <c r="H338">
        <v>172.8</v>
      </c>
      <c r="I338">
        <v>166.4</v>
      </c>
      <c r="J338">
        <v>188.6</v>
      </c>
      <c r="K338">
        <v>174.1</v>
      </c>
      <c r="L338">
        <v>211.5</v>
      </c>
      <c r="M338">
        <v>163.6</v>
      </c>
      <c r="N338">
        <v>121.4</v>
      </c>
      <c r="O338">
        <v>183.5</v>
      </c>
      <c r="P338">
        <v>159.1</v>
      </c>
      <c r="Q338">
        <v>186.3</v>
      </c>
      <c r="R338">
        <v>179.3</v>
      </c>
      <c r="S338">
        <v>198.3</v>
      </c>
      <c r="T338">
        <v>171.6</v>
      </c>
      <c r="U338">
        <v>157.4</v>
      </c>
      <c r="V338">
        <v>169.4</v>
      </c>
      <c r="W338">
        <v>166.8</v>
      </c>
      <c r="X338">
        <v>174.9</v>
      </c>
      <c r="Y338">
        <v>162.1</v>
      </c>
      <c r="Z338">
        <v>170.9</v>
      </c>
      <c r="AA338">
        <v>157.19999999999999</v>
      </c>
      <c r="AB338">
        <v>164.1</v>
      </c>
      <c r="AC338">
        <v>166.5</v>
      </c>
      <c r="AD338">
        <v>169.2</v>
      </c>
      <c r="AE338">
        <v>163.80000000000001</v>
      </c>
      <c r="AF338">
        <v>171.4</v>
      </c>
    </row>
    <row r="339" spans="2:32" x14ac:dyDescent="0.3">
      <c r="B339" t="s">
        <v>34</v>
      </c>
      <c r="C339">
        <v>2022</v>
      </c>
      <c r="D339" t="s">
        <v>39</v>
      </c>
      <c r="E339" s="40" t="s">
        <v>115</v>
      </c>
      <c r="F339">
        <v>155</v>
      </c>
      <c r="G339">
        <v>219.4</v>
      </c>
      <c r="H339">
        <v>170.8</v>
      </c>
      <c r="I339">
        <v>165.8</v>
      </c>
      <c r="J339">
        <v>200.9</v>
      </c>
      <c r="K339">
        <v>169.7</v>
      </c>
      <c r="L339">
        <v>182.3</v>
      </c>
      <c r="M339">
        <v>164.3</v>
      </c>
      <c r="N339">
        <v>119.9</v>
      </c>
      <c r="O339">
        <v>187.1</v>
      </c>
      <c r="P339">
        <v>167.9</v>
      </c>
      <c r="Q339">
        <v>183.9</v>
      </c>
      <c r="R339">
        <v>174.9</v>
      </c>
      <c r="S339">
        <v>194.3</v>
      </c>
      <c r="T339">
        <v>177.1</v>
      </c>
      <c r="U339">
        <v>169.9</v>
      </c>
      <c r="V339">
        <v>176</v>
      </c>
      <c r="W339">
        <v>166.8</v>
      </c>
      <c r="X339">
        <v>176</v>
      </c>
      <c r="Y339">
        <v>166.4</v>
      </c>
      <c r="Z339">
        <v>175.4</v>
      </c>
      <c r="AA339">
        <v>161.1</v>
      </c>
      <c r="AB339">
        <v>165.8</v>
      </c>
      <c r="AC339">
        <v>169</v>
      </c>
      <c r="AD339">
        <v>169.4</v>
      </c>
      <c r="AE339">
        <v>167.5</v>
      </c>
      <c r="AF339">
        <v>172.6</v>
      </c>
    </row>
    <row r="340" spans="2:32" x14ac:dyDescent="0.3">
      <c r="B340" t="s">
        <v>30</v>
      </c>
      <c r="C340">
        <v>2022</v>
      </c>
      <c r="D340" t="s">
        <v>40</v>
      </c>
      <c r="E340" s="40" t="s">
        <v>116</v>
      </c>
      <c r="F340">
        <v>155.19999999999999</v>
      </c>
      <c r="G340">
        <v>210.8</v>
      </c>
      <c r="H340">
        <v>174.3</v>
      </c>
      <c r="I340">
        <v>166.3</v>
      </c>
      <c r="J340">
        <v>202.2</v>
      </c>
      <c r="K340">
        <v>169.6</v>
      </c>
      <c r="L340">
        <v>168.6</v>
      </c>
      <c r="M340">
        <v>164.4</v>
      </c>
      <c r="N340">
        <v>119.2</v>
      </c>
      <c r="O340">
        <v>191.8</v>
      </c>
      <c r="P340">
        <v>174.5</v>
      </c>
      <c r="Q340">
        <v>183.1</v>
      </c>
      <c r="R340">
        <v>172.5</v>
      </c>
      <c r="S340">
        <v>193.2</v>
      </c>
      <c r="T340">
        <v>182</v>
      </c>
      <c r="U340">
        <v>180.3</v>
      </c>
      <c r="V340">
        <v>181.7</v>
      </c>
      <c r="W340">
        <v>167.8</v>
      </c>
      <c r="X340">
        <v>179.6</v>
      </c>
      <c r="Y340">
        <v>171.3</v>
      </c>
      <c r="Z340">
        <v>178.8</v>
      </c>
      <c r="AA340">
        <v>166.3</v>
      </c>
      <c r="AB340">
        <v>168.6</v>
      </c>
      <c r="AC340">
        <v>174.7</v>
      </c>
      <c r="AD340">
        <v>169.7</v>
      </c>
      <c r="AE340">
        <v>171.8</v>
      </c>
      <c r="AF340">
        <v>174.3</v>
      </c>
    </row>
    <row r="341" spans="2:32" x14ac:dyDescent="0.3">
      <c r="B341" t="s">
        <v>33</v>
      </c>
      <c r="C341">
        <v>2022</v>
      </c>
      <c r="D341" t="s">
        <v>40</v>
      </c>
      <c r="E341" s="40" t="s">
        <v>116</v>
      </c>
      <c r="F341">
        <v>159.30000000000001</v>
      </c>
      <c r="G341">
        <v>217.1</v>
      </c>
      <c r="H341">
        <v>176.6</v>
      </c>
      <c r="I341">
        <v>167.1</v>
      </c>
      <c r="J341">
        <v>184.8</v>
      </c>
      <c r="K341">
        <v>179.5</v>
      </c>
      <c r="L341">
        <v>208.5</v>
      </c>
      <c r="M341">
        <v>164</v>
      </c>
      <c r="N341">
        <v>121.5</v>
      </c>
      <c r="O341">
        <v>186.3</v>
      </c>
      <c r="P341">
        <v>159.80000000000001</v>
      </c>
      <c r="Q341">
        <v>187.7</v>
      </c>
      <c r="R341">
        <v>179.4</v>
      </c>
      <c r="S341">
        <v>198.6</v>
      </c>
      <c r="T341">
        <v>172.7</v>
      </c>
      <c r="U341">
        <v>158.69999999999999</v>
      </c>
      <c r="V341">
        <v>170.6</v>
      </c>
      <c r="W341">
        <v>167.8</v>
      </c>
      <c r="X341">
        <v>179.5</v>
      </c>
      <c r="Y341">
        <v>163.1</v>
      </c>
      <c r="Z341">
        <v>171.7</v>
      </c>
      <c r="AA341">
        <v>157.4</v>
      </c>
      <c r="AB341">
        <v>164.6</v>
      </c>
      <c r="AC341">
        <v>169.1</v>
      </c>
      <c r="AD341">
        <v>169.8</v>
      </c>
      <c r="AE341">
        <v>164.7</v>
      </c>
      <c r="AF341">
        <v>172.3</v>
      </c>
    </row>
    <row r="342" spans="2:32" x14ac:dyDescent="0.3">
      <c r="B342" t="s">
        <v>34</v>
      </c>
      <c r="C342">
        <v>2022</v>
      </c>
      <c r="D342" t="s">
        <v>40</v>
      </c>
      <c r="E342" s="40" t="s">
        <v>116</v>
      </c>
      <c r="F342">
        <v>156.5</v>
      </c>
      <c r="G342">
        <v>213</v>
      </c>
      <c r="H342">
        <v>175.2</v>
      </c>
      <c r="I342">
        <v>166.6</v>
      </c>
      <c r="J342">
        <v>195.8</v>
      </c>
      <c r="K342">
        <v>174.2</v>
      </c>
      <c r="L342">
        <v>182.1</v>
      </c>
      <c r="M342">
        <v>164.3</v>
      </c>
      <c r="N342">
        <v>120</v>
      </c>
      <c r="O342">
        <v>190</v>
      </c>
      <c r="P342">
        <v>168.4</v>
      </c>
      <c r="Q342">
        <v>185.2</v>
      </c>
      <c r="R342">
        <v>175</v>
      </c>
      <c r="S342">
        <v>194.6</v>
      </c>
      <c r="T342">
        <v>178.3</v>
      </c>
      <c r="U342">
        <v>171.3</v>
      </c>
      <c r="V342">
        <v>177.3</v>
      </c>
      <c r="W342">
        <v>167.8</v>
      </c>
      <c r="X342">
        <v>179.6</v>
      </c>
      <c r="Y342">
        <v>167.4</v>
      </c>
      <c r="Z342">
        <v>176.1</v>
      </c>
      <c r="AA342">
        <v>161.6</v>
      </c>
      <c r="AB342">
        <v>166.3</v>
      </c>
      <c r="AC342">
        <v>171.4</v>
      </c>
      <c r="AD342">
        <v>169.7</v>
      </c>
      <c r="AE342">
        <v>168.4</v>
      </c>
      <c r="AF342">
        <v>173.4</v>
      </c>
    </row>
    <row r="343" spans="2:32" x14ac:dyDescent="0.3">
      <c r="B343" t="s">
        <v>30</v>
      </c>
      <c r="C343">
        <v>2022</v>
      </c>
      <c r="D343" t="s">
        <v>41</v>
      </c>
      <c r="E343" s="40" t="s">
        <v>117</v>
      </c>
      <c r="F343">
        <v>159.5</v>
      </c>
      <c r="G343">
        <v>204.1</v>
      </c>
      <c r="H343">
        <v>168.3</v>
      </c>
      <c r="I343">
        <v>167.9</v>
      </c>
      <c r="J343">
        <v>198.1</v>
      </c>
      <c r="K343">
        <v>169.2</v>
      </c>
      <c r="L343">
        <v>173.1</v>
      </c>
      <c r="M343">
        <v>167.1</v>
      </c>
      <c r="N343">
        <v>120.2</v>
      </c>
      <c r="O343">
        <v>195.6</v>
      </c>
      <c r="P343">
        <v>174.8</v>
      </c>
      <c r="Q343">
        <v>184</v>
      </c>
      <c r="R343">
        <v>173.9</v>
      </c>
      <c r="S343">
        <v>193.7</v>
      </c>
      <c r="T343">
        <v>183.2</v>
      </c>
      <c r="U343">
        <v>181.7</v>
      </c>
      <c r="V343">
        <v>183</v>
      </c>
      <c r="W343">
        <v>169</v>
      </c>
      <c r="X343">
        <v>179.1</v>
      </c>
      <c r="Y343">
        <v>172.3</v>
      </c>
      <c r="Z343">
        <v>179.4</v>
      </c>
      <c r="AA343">
        <v>166.6</v>
      </c>
      <c r="AB343">
        <v>169.3</v>
      </c>
      <c r="AC343">
        <v>175.7</v>
      </c>
      <c r="AD343">
        <v>171.1</v>
      </c>
      <c r="AE343">
        <v>172.6</v>
      </c>
      <c r="AF343">
        <v>175.3</v>
      </c>
    </row>
    <row r="344" spans="2:32" x14ac:dyDescent="0.3">
      <c r="B344" t="s">
        <v>33</v>
      </c>
      <c r="C344">
        <v>2022</v>
      </c>
      <c r="D344" t="s">
        <v>41</v>
      </c>
      <c r="E344" s="40" t="s">
        <v>117</v>
      </c>
      <c r="F344">
        <v>162.1</v>
      </c>
      <c r="G344">
        <v>210.9</v>
      </c>
      <c r="H344">
        <v>170.6</v>
      </c>
      <c r="I344">
        <v>168.4</v>
      </c>
      <c r="J344">
        <v>182.5</v>
      </c>
      <c r="K344">
        <v>177.1</v>
      </c>
      <c r="L344">
        <v>213.1</v>
      </c>
      <c r="M344">
        <v>167.3</v>
      </c>
      <c r="N344">
        <v>122.2</v>
      </c>
      <c r="O344">
        <v>189.7</v>
      </c>
      <c r="P344">
        <v>160.5</v>
      </c>
      <c r="Q344">
        <v>188.9</v>
      </c>
      <c r="R344">
        <v>180.4</v>
      </c>
      <c r="S344">
        <v>198.7</v>
      </c>
      <c r="T344">
        <v>173.7</v>
      </c>
      <c r="U344">
        <v>160</v>
      </c>
      <c r="V344">
        <v>171.6</v>
      </c>
      <c r="W344">
        <v>169</v>
      </c>
      <c r="X344">
        <v>178.4</v>
      </c>
      <c r="Y344">
        <v>164.2</v>
      </c>
      <c r="Z344">
        <v>172.6</v>
      </c>
      <c r="AA344">
        <v>157.69999999999999</v>
      </c>
      <c r="AB344">
        <v>165.1</v>
      </c>
      <c r="AC344">
        <v>169.9</v>
      </c>
      <c r="AD344">
        <v>171.4</v>
      </c>
      <c r="AE344">
        <v>165.4</v>
      </c>
      <c r="AF344">
        <v>173.1</v>
      </c>
    </row>
    <row r="345" spans="2:32" x14ac:dyDescent="0.3">
      <c r="B345" t="s">
        <v>34</v>
      </c>
      <c r="C345">
        <v>2022</v>
      </c>
      <c r="D345" t="s">
        <v>41</v>
      </c>
      <c r="E345" s="40" t="s">
        <v>117</v>
      </c>
      <c r="F345">
        <v>160.30000000000001</v>
      </c>
      <c r="G345">
        <v>206.5</v>
      </c>
      <c r="H345">
        <v>169.2</v>
      </c>
      <c r="I345">
        <v>168.1</v>
      </c>
      <c r="J345">
        <v>192.4</v>
      </c>
      <c r="K345">
        <v>172.9</v>
      </c>
      <c r="L345">
        <v>186.7</v>
      </c>
      <c r="M345">
        <v>167.2</v>
      </c>
      <c r="N345">
        <v>120.9</v>
      </c>
      <c r="O345">
        <v>193.6</v>
      </c>
      <c r="P345">
        <v>168.8</v>
      </c>
      <c r="Q345">
        <v>186.3</v>
      </c>
      <c r="R345">
        <v>176.3</v>
      </c>
      <c r="S345">
        <v>195</v>
      </c>
      <c r="T345">
        <v>179.5</v>
      </c>
      <c r="U345">
        <v>172.7</v>
      </c>
      <c r="V345">
        <v>178.5</v>
      </c>
      <c r="W345">
        <v>169</v>
      </c>
      <c r="X345">
        <v>178.8</v>
      </c>
      <c r="Y345">
        <v>168.5</v>
      </c>
      <c r="Z345">
        <v>176.8</v>
      </c>
      <c r="AA345">
        <v>161.9</v>
      </c>
      <c r="AB345">
        <v>166.9</v>
      </c>
      <c r="AC345">
        <v>172.3</v>
      </c>
      <c r="AD345">
        <v>171.2</v>
      </c>
      <c r="AE345">
        <v>169.1</v>
      </c>
      <c r="AF345">
        <v>174.3</v>
      </c>
    </row>
    <row r="346" spans="2:32" x14ac:dyDescent="0.3">
      <c r="B346" t="s">
        <v>30</v>
      </c>
      <c r="C346">
        <v>2022</v>
      </c>
      <c r="D346" t="s">
        <v>42</v>
      </c>
      <c r="E346" s="40" t="s">
        <v>118</v>
      </c>
      <c r="F346">
        <v>162.9</v>
      </c>
      <c r="G346">
        <v>206.7</v>
      </c>
      <c r="H346">
        <v>169</v>
      </c>
      <c r="I346">
        <v>169.5</v>
      </c>
      <c r="J346">
        <v>194.1</v>
      </c>
      <c r="K346">
        <v>164.1</v>
      </c>
      <c r="L346">
        <v>176.9</v>
      </c>
      <c r="M346">
        <v>169</v>
      </c>
      <c r="N346">
        <v>120.8</v>
      </c>
      <c r="O346">
        <v>199.1</v>
      </c>
      <c r="P346">
        <v>175.4</v>
      </c>
      <c r="Q346">
        <v>184.8</v>
      </c>
      <c r="R346">
        <v>175.5</v>
      </c>
      <c r="S346">
        <v>194.5</v>
      </c>
      <c r="T346">
        <v>184.7</v>
      </c>
      <c r="U346">
        <v>183.3</v>
      </c>
      <c r="V346">
        <v>184.5</v>
      </c>
      <c r="W346">
        <v>169.5</v>
      </c>
      <c r="X346">
        <v>179.7</v>
      </c>
      <c r="Y346">
        <v>173.6</v>
      </c>
      <c r="Z346">
        <v>180.2</v>
      </c>
      <c r="AA346">
        <v>166.9</v>
      </c>
      <c r="AB346">
        <v>170</v>
      </c>
      <c r="AC346">
        <v>176.2</v>
      </c>
      <c r="AD346">
        <v>170.8</v>
      </c>
      <c r="AE346">
        <v>173.1</v>
      </c>
      <c r="AF346">
        <v>176.4</v>
      </c>
    </row>
    <row r="347" spans="2:32" x14ac:dyDescent="0.3">
      <c r="B347" t="s">
        <v>33</v>
      </c>
      <c r="C347">
        <v>2022</v>
      </c>
      <c r="D347" t="s">
        <v>42</v>
      </c>
      <c r="E347" s="40" t="s">
        <v>118</v>
      </c>
      <c r="F347">
        <v>164.9</v>
      </c>
      <c r="G347">
        <v>213.7</v>
      </c>
      <c r="H347">
        <v>170.9</v>
      </c>
      <c r="I347">
        <v>170.1</v>
      </c>
      <c r="J347">
        <v>179.3</v>
      </c>
      <c r="K347">
        <v>167.5</v>
      </c>
      <c r="L347">
        <v>220.8</v>
      </c>
      <c r="M347">
        <v>169.2</v>
      </c>
      <c r="N347">
        <v>123.1</v>
      </c>
      <c r="O347">
        <v>193.6</v>
      </c>
      <c r="P347">
        <v>161.1</v>
      </c>
      <c r="Q347">
        <v>190.4</v>
      </c>
      <c r="R347">
        <v>181.8</v>
      </c>
      <c r="S347">
        <v>199.7</v>
      </c>
      <c r="T347">
        <v>175</v>
      </c>
      <c r="U347">
        <v>161.69999999999999</v>
      </c>
      <c r="V347">
        <v>173</v>
      </c>
      <c r="W347">
        <v>169.5</v>
      </c>
      <c r="X347">
        <v>179.2</v>
      </c>
      <c r="Y347">
        <v>165</v>
      </c>
      <c r="Z347">
        <v>173.8</v>
      </c>
      <c r="AA347">
        <v>158.19999999999999</v>
      </c>
      <c r="AB347">
        <v>165.8</v>
      </c>
      <c r="AC347">
        <v>170.9</v>
      </c>
      <c r="AD347">
        <v>171.1</v>
      </c>
      <c r="AE347">
        <v>166.1</v>
      </c>
      <c r="AF347">
        <v>174.1</v>
      </c>
    </row>
    <row r="348" spans="2:32" x14ac:dyDescent="0.3">
      <c r="B348" t="s">
        <v>34</v>
      </c>
      <c r="C348">
        <v>2022</v>
      </c>
      <c r="D348" t="s">
        <v>42</v>
      </c>
      <c r="E348" s="40" t="s">
        <v>118</v>
      </c>
      <c r="F348">
        <v>163.5</v>
      </c>
      <c r="G348">
        <v>209.2</v>
      </c>
      <c r="H348">
        <v>169.7</v>
      </c>
      <c r="I348">
        <v>169.7</v>
      </c>
      <c r="J348">
        <v>188.7</v>
      </c>
      <c r="K348">
        <v>165.7</v>
      </c>
      <c r="L348">
        <v>191.8</v>
      </c>
      <c r="M348">
        <v>169.1</v>
      </c>
      <c r="N348">
        <v>121.6</v>
      </c>
      <c r="O348">
        <v>197.3</v>
      </c>
      <c r="P348">
        <v>169.4</v>
      </c>
      <c r="Q348">
        <v>187.4</v>
      </c>
      <c r="R348">
        <v>177.8</v>
      </c>
      <c r="S348">
        <v>195.9</v>
      </c>
      <c r="T348">
        <v>180.9</v>
      </c>
      <c r="U348">
        <v>174.3</v>
      </c>
      <c r="V348">
        <v>179.9</v>
      </c>
      <c r="W348">
        <v>169.5</v>
      </c>
      <c r="X348">
        <v>179.5</v>
      </c>
      <c r="Y348">
        <v>169.5</v>
      </c>
      <c r="Z348">
        <v>177.8</v>
      </c>
      <c r="AA348">
        <v>162.30000000000001</v>
      </c>
      <c r="AB348">
        <v>167.6</v>
      </c>
      <c r="AC348">
        <v>173.1</v>
      </c>
      <c r="AD348">
        <v>170.9</v>
      </c>
      <c r="AE348">
        <v>169.7</v>
      </c>
      <c r="AF348">
        <v>175.3</v>
      </c>
    </row>
    <row r="349" spans="2:32" x14ac:dyDescent="0.3">
      <c r="B349" t="s">
        <v>30</v>
      </c>
      <c r="C349">
        <v>2022</v>
      </c>
      <c r="D349" t="s">
        <v>43</v>
      </c>
      <c r="E349" s="40" t="s">
        <v>119</v>
      </c>
      <c r="F349">
        <v>164.7</v>
      </c>
      <c r="G349">
        <v>208.8</v>
      </c>
      <c r="H349">
        <v>170.3</v>
      </c>
      <c r="I349">
        <v>170.9</v>
      </c>
      <c r="J349">
        <v>191.6</v>
      </c>
      <c r="K349">
        <v>162.19999999999999</v>
      </c>
      <c r="L349">
        <v>184.8</v>
      </c>
      <c r="M349">
        <v>169.7</v>
      </c>
      <c r="N349">
        <v>121.1</v>
      </c>
      <c r="O349">
        <v>201.6</v>
      </c>
      <c r="P349">
        <v>175.8</v>
      </c>
      <c r="Q349">
        <v>185.6</v>
      </c>
      <c r="R349">
        <v>177.4</v>
      </c>
      <c r="S349">
        <v>194.9</v>
      </c>
      <c r="T349">
        <v>186.1</v>
      </c>
      <c r="U349">
        <v>184.4</v>
      </c>
      <c r="V349">
        <v>185.9</v>
      </c>
      <c r="W349">
        <v>171.2</v>
      </c>
      <c r="X349">
        <v>180.8</v>
      </c>
      <c r="Y349">
        <v>174.4</v>
      </c>
      <c r="Z349">
        <v>181.2</v>
      </c>
      <c r="AA349">
        <v>167.4</v>
      </c>
      <c r="AB349">
        <v>170.6</v>
      </c>
      <c r="AC349">
        <v>176.5</v>
      </c>
      <c r="AD349">
        <v>172</v>
      </c>
      <c r="AE349">
        <v>173.9</v>
      </c>
      <c r="AF349">
        <v>177.9</v>
      </c>
    </row>
    <row r="350" spans="2:32" x14ac:dyDescent="0.3">
      <c r="B350" t="s">
        <v>33</v>
      </c>
      <c r="C350">
        <v>2022</v>
      </c>
      <c r="D350" t="s">
        <v>43</v>
      </c>
      <c r="E350" s="40" t="s">
        <v>119</v>
      </c>
      <c r="F350">
        <v>166.4</v>
      </c>
      <c r="G350">
        <v>214.9</v>
      </c>
      <c r="H350">
        <v>171.9</v>
      </c>
      <c r="I350">
        <v>171</v>
      </c>
      <c r="J350">
        <v>177.7</v>
      </c>
      <c r="K350">
        <v>165.7</v>
      </c>
      <c r="L350">
        <v>228.6</v>
      </c>
      <c r="M350">
        <v>169.9</v>
      </c>
      <c r="N350">
        <v>123.4</v>
      </c>
      <c r="O350">
        <v>196.4</v>
      </c>
      <c r="P350">
        <v>161.6</v>
      </c>
      <c r="Q350">
        <v>191.5</v>
      </c>
      <c r="R350">
        <v>183.3</v>
      </c>
      <c r="S350">
        <v>200.1</v>
      </c>
      <c r="T350">
        <v>175.5</v>
      </c>
      <c r="U350">
        <v>162.6</v>
      </c>
      <c r="V350">
        <v>173.6</v>
      </c>
      <c r="W350">
        <v>171.2</v>
      </c>
      <c r="X350">
        <v>180</v>
      </c>
      <c r="Y350">
        <v>166</v>
      </c>
      <c r="Z350">
        <v>174.7</v>
      </c>
      <c r="AA350">
        <v>158.80000000000001</v>
      </c>
      <c r="AB350">
        <v>166.3</v>
      </c>
      <c r="AC350">
        <v>171.2</v>
      </c>
      <c r="AD350">
        <v>172.3</v>
      </c>
      <c r="AE350">
        <v>166.8</v>
      </c>
      <c r="AF350">
        <v>175.3</v>
      </c>
    </row>
    <row r="351" spans="2:32" x14ac:dyDescent="0.3">
      <c r="B351" t="s">
        <v>34</v>
      </c>
      <c r="C351">
        <v>2022</v>
      </c>
      <c r="D351" t="s">
        <v>43</v>
      </c>
      <c r="E351" s="40" t="s">
        <v>119</v>
      </c>
      <c r="F351">
        <v>165.2</v>
      </c>
      <c r="G351">
        <v>210.9</v>
      </c>
      <c r="H351">
        <v>170.9</v>
      </c>
      <c r="I351">
        <v>170.9</v>
      </c>
      <c r="J351">
        <v>186.5</v>
      </c>
      <c r="K351">
        <v>163.80000000000001</v>
      </c>
      <c r="L351">
        <v>199.7</v>
      </c>
      <c r="M351">
        <v>169.8</v>
      </c>
      <c r="N351">
        <v>121.9</v>
      </c>
      <c r="O351">
        <v>199.9</v>
      </c>
      <c r="P351">
        <v>169.9</v>
      </c>
      <c r="Q351">
        <v>188.3</v>
      </c>
      <c r="R351">
        <v>179.6</v>
      </c>
      <c r="S351">
        <v>196.3</v>
      </c>
      <c r="T351">
        <v>181.9</v>
      </c>
      <c r="U351">
        <v>175.3</v>
      </c>
      <c r="V351">
        <v>181</v>
      </c>
      <c r="W351">
        <v>171.2</v>
      </c>
      <c r="X351">
        <v>180.5</v>
      </c>
      <c r="Y351">
        <v>170.4</v>
      </c>
      <c r="Z351">
        <v>178.7</v>
      </c>
      <c r="AA351">
        <v>162.9</v>
      </c>
      <c r="AB351">
        <v>168.2</v>
      </c>
      <c r="AC351">
        <v>173.4</v>
      </c>
      <c r="AD351">
        <v>172.1</v>
      </c>
      <c r="AE351">
        <v>170.5</v>
      </c>
      <c r="AF351">
        <v>176.7</v>
      </c>
    </row>
    <row r="352" spans="2:32" x14ac:dyDescent="0.3">
      <c r="B352" t="s">
        <v>30</v>
      </c>
      <c r="C352">
        <v>2022</v>
      </c>
      <c r="D352" t="s">
        <v>45</v>
      </c>
      <c r="E352" s="40" t="s">
        <v>120</v>
      </c>
      <c r="F352">
        <v>166.9</v>
      </c>
      <c r="G352">
        <v>207.2</v>
      </c>
      <c r="H352">
        <v>180.2</v>
      </c>
      <c r="I352">
        <v>172.3</v>
      </c>
      <c r="J352">
        <v>194</v>
      </c>
      <c r="K352">
        <v>159.1</v>
      </c>
      <c r="L352">
        <v>171.6</v>
      </c>
      <c r="M352">
        <v>170.2</v>
      </c>
      <c r="N352">
        <v>121.5</v>
      </c>
      <c r="O352">
        <v>204.8</v>
      </c>
      <c r="P352">
        <v>176.4</v>
      </c>
      <c r="Q352">
        <v>186.9</v>
      </c>
      <c r="R352">
        <v>176.6</v>
      </c>
      <c r="S352">
        <v>195.5</v>
      </c>
      <c r="T352">
        <v>187.2</v>
      </c>
      <c r="U352">
        <v>185.2</v>
      </c>
      <c r="V352">
        <v>186.9</v>
      </c>
      <c r="W352">
        <v>171.8</v>
      </c>
      <c r="X352">
        <v>181.9</v>
      </c>
      <c r="Y352">
        <v>175.5</v>
      </c>
      <c r="Z352">
        <v>182.3</v>
      </c>
      <c r="AA352">
        <v>167.5</v>
      </c>
      <c r="AB352">
        <v>170.8</v>
      </c>
      <c r="AC352">
        <v>176.9</v>
      </c>
      <c r="AD352">
        <v>173.4</v>
      </c>
      <c r="AE352">
        <v>174.6</v>
      </c>
      <c r="AF352">
        <v>177.8</v>
      </c>
    </row>
    <row r="353" spans="2:32" x14ac:dyDescent="0.3">
      <c r="B353" t="s">
        <v>33</v>
      </c>
      <c r="C353">
        <v>2022</v>
      </c>
      <c r="D353" t="s">
        <v>45</v>
      </c>
      <c r="E353" s="40" t="s">
        <v>120</v>
      </c>
      <c r="F353">
        <v>168.4</v>
      </c>
      <c r="G353">
        <v>213.4</v>
      </c>
      <c r="H353">
        <v>183.2</v>
      </c>
      <c r="I353">
        <v>172.3</v>
      </c>
      <c r="J353">
        <v>180</v>
      </c>
      <c r="K353">
        <v>162.6</v>
      </c>
      <c r="L353">
        <v>205.5</v>
      </c>
      <c r="M353">
        <v>171</v>
      </c>
      <c r="N353">
        <v>123.4</v>
      </c>
      <c r="O353">
        <v>198.8</v>
      </c>
      <c r="P353">
        <v>162.1</v>
      </c>
      <c r="Q353">
        <v>192.4</v>
      </c>
      <c r="R353">
        <v>181.3</v>
      </c>
      <c r="S353">
        <v>200.6</v>
      </c>
      <c r="T353">
        <v>176.7</v>
      </c>
      <c r="U353">
        <v>163.5</v>
      </c>
      <c r="V353">
        <v>174.7</v>
      </c>
      <c r="W353">
        <v>171.8</v>
      </c>
      <c r="X353">
        <v>180.3</v>
      </c>
      <c r="Y353">
        <v>166.9</v>
      </c>
      <c r="Z353">
        <v>175.8</v>
      </c>
      <c r="AA353">
        <v>158.9</v>
      </c>
      <c r="AB353">
        <v>166.7</v>
      </c>
      <c r="AC353">
        <v>171.5</v>
      </c>
      <c r="AD353">
        <v>173.8</v>
      </c>
      <c r="AE353">
        <v>167.4</v>
      </c>
      <c r="AF353">
        <v>174.1</v>
      </c>
    </row>
    <row r="354" spans="2:32" x14ac:dyDescent="0.3">
      <c r="B354" t="s">
        <v>34</v>
      </c>
      <c r="C354">
        <v>2022</v>
      </c>
      <c r="D354" t="s">
        <v>45</v>
      </c>
      <c r="E354" s="40" t="s">
        <v>120</v>
      </c>
      <c r="F354">
        <v>167.4</v>
      </c>
      <c r="G354">
        <v>209.4</v>
      </c>
      <c r="H354">
        <v>181.4</v>
      </c>
      <c r="I354">
        <v>172.3</v>
      </c>
      <c r="J354">
        <v>188.9</v>
      </c>
      <c r="K354">
        <v>160.69999999999999</v>
      </c>
      <c r="L354">
        <v>183.1</v>
      </c>
      <c r="M354">
        <v>170.5</v>
      </c>
      <c r="N354">
        <v>122.1</v>
      </c>
      <c r="O354">
        <v>202.8</v>
      </c>
      <c r="P354">
        <v>170.4</v>
      </c>
      <c r="Q354">
        <v>189.5</v>
      </c>
      <c r="R354">
        <v>178.3</v>
      </c>
      <c r="S354">
        <v>196.9</v>
      </c>
      <c r="T354">
        <v>183.1</v>
      </c>
      <c r="U354">
        <v>176.2</v>
      </c>
      <c r="V354">
        <v>182.1</v>
      </c>
      <c r="W354">
        <v>171.8</v>
      </c>
      <c r="X354">
        <v>181.3</v>
      </c>
      <c r="Y354">
        <v>171.4</v>
      </c>
      <c r="Z354">
        <v>179.8</v>
      </c>
      <c r="AA354">
        <v>163</v>
      </c>
      <c r="AB354">
        <v>168.5</v>
      </c>
      <c r="AC354">
        <v>173.7</v>
      </c>
      <c r="AD354">
        <v>173.6</v>
      </c>
      <c r="AE354">
        <v>171.1</v>
      </c>
      <c r="AF354">
        <v>176.5</v>
      </c>
    </row>
    <row r="355" spans="2:32" x14ac:dyDescent="0.3">
      <c r="B355" t="s">
        <v>30</v>
      </c>
      <c r="C355">
        <v>2022</v>
      </c>
      <c r="D355" t="s">
        <v>46</v>
      </c>
      <c r="E355" s="40" t="s">
        <v>121</v>
      </c>
      <c r="F355">
        <v>168.8</v>
      </c>
      <c r="G355">
        <v>206.9</v>
      </c>
      <c r="H355">
        <v>189.1</v>
      </c>
      <c r="I355">
        <v>173.4</v>
      </c>
      <c r="J355">
        <v>193.9</v>
      </c>
      <c r="K355">
        <v>156.69999999999999</v>
      </c>
      <c r="L355">
        <v>150.19999999999999</v>
      </c>
      <c r="M355">
        <v>170.5</v>
      </c>
      <c r="N355">
        <v>121.2</v>
      </c>
      <c r="O355">
        <v>207.5</v>
      </c>
      <c r="P355">
        <v>176.8</v>
      </c>
      <c r="Q355">
        <v>187.7</v>
      </c>
      <c r="R355">
        <v>174.4</v>
      </c>
      <c r="S355">
        <v>195.9</v>
      </c>
      <c r="T355">
        <v>188.1</v>
      </c>
      <c r="U355">
        <v>185.9</v>
      </c>
      <c r="V355">
        <v>187.8</v>
      </c>
      <c r="W355">
        <v>170.7</v>
      </c>
      <c r="X355">
        <v>182.8</v>
      </c>
      <c r="Y355">
        <v>176.4</v>
      </c>
      <c r="Z355">
        <v>183.5</v>
      </c>
      <c r="AA355">
        <v>167.8</v>
      </c>
      <c r="AB355">
        <v>171.2</v>
      </c>
      <c r="AC355">
        <v>177.3</v>
      </c>
      <c r="AD355">
        <v>175.7</v>
      </c>
      <c r="AE355">
        <v>175.5</v>
      </c>
      <c r="AF355">
        <v>177.1</v>
      </c>
    </row>
    <row r="356" spans="2:32" x14ac:dyDescent="0.3">
      <c r="B356" t="s">
        <v>33</v>
      </c>
      <c r="C356">
        <v>2022</v>
      </c>
      <c r="D356" t="s">
        <v>46</v>
      </c>
      <c r="E356" s="40" t="s">
        <v>121</v>
      </c>
      <c r="F356">
        <v>170.2</v>
      </c>
      <c r="G356">
        <v>212.9</v>
      </c>
      <c r="H356">
        <v>191.9</v>
      </c>
      <c r="I356">
        <v>173.9</v>
      </c>
      <c r="J356">
        <v>179.1</v>
      </c>
      <c r="K356">
        <v>159.5</v>
      </c>
      <c r="L356">
        <v>178.7</v>
      </c>
      <c r="M356">
        <v>171.3</v>
      </c>
      <c r="N356">
        <v>123.1</v>
      </c>
      <c r="O356">
        <v>200.5</v>
      </c>
      <c r="P356">
        <v>162.80000000000001</v>
      </c>
      <c r="Q356">
        <v>193.3</v>
      </c>
      <c r="R356">
        <v>178.6</v>
      </c>
      <c r="S356">
        <v>201.1</v>
      </c>
      <c r="T356">
        <v>177.7</v>
      </c>
      <c r="U356">
        <v>164.5</v>
      </c>
      <c r="V356">
        <v>175.7</v>
      </c>
      <c r="W356">
        <v>170.7</v>
      </c>
      <c r="X356">
        <v>180.6</v>
      </c>
      <c r="Y356">
        <v>167.3</v>
      </c>
      <c r="Z356">
        <v>177.2</v>
      </c>
      <c r="AA356">
        <v>159.4</v>
      </c>
      <c r="AB356">
        <v>167.1</v>
      </c>
      <c r="AC356">
        <v>171.8</v>
      </c>
      <c r="AD356">
        <v>176</v>
      </c>
      <c r="AE356">
        <v>168.2</v>
      </c>
      <c r="AF356">
        <v>174.1</v>
      </c>
    </row>
    <row r="357" spans="2:32" x14ac:dyDescent="0.3">
      <c r="B357" t="s">
        <v>34</v>
      </c>
      <c r="C357">
        <v>2022</v>
      </c>
      <c r="D357" t="s">
        <v>46</v>
      </c>
      <c r="E357" s="40" t="s">
        <v>121</v>
      </c>
      <c r="F357">
        <v>169.2</v>
      </c>
      <c r="G357">
        <v>209</v>
      </c>
      <c r="H357">
        <v>190.2</v>
      </c>
      <c r="I357">
        <v>173.6</v>
      </c>
      <c r="J357">
        <v>188.5</v>
      </c>
      <c r="K357">
        <v>158</v>
      </c>
      <c r="L357">
        <v>159.9</v>
      </c>
      <c r="M357">
        <v>170.8</v>
      </c>
      <c r="N357">
        <v>121.8</v>
      </c>
      <c r="O357">
        <v>205.2</v>
      </c>
      <c r="P357">
        <v>171</v>
      </c>
      <c r="Q357">
        <v>190.3</v>
      </c>
      <c r="R357">
        <v>175.9</v>
      </c>
      <c r="S357">
        <v>197.3</v>
      </c>
      <c r="T357">
        <v>184</v>
      </c>
      <c r="U357">
        <v>177</v>
      </c>
      <c r="V357">
        <v>183</v>
      </c>
      <c r="W357">
        <v>170.7</v>
      </c>
      <c r="X357">
        <v>182</v>
      </c>
      <c r="Y357">
        <v>172.1</v>
      </c>
      <c r="Z357">
        <v>181.1</v>
      </c>
      <c r="AA357">
        <v>163.4</v>
      </c>
      <c r="AB357">
        <v>168.9</v>
      </c>
      <c r="AC357">
        <v>174.1</v>
      </c>
      <c r="AD357">
        <v>175.8</v>
      </c>
      <c r="AE357">
        <v>172</v>
      </c>
      <c r="AF357">
        <v>175.7</v>
      </c>
    </row>
    <row r="358" spans="2:32" x14ac:dyDescent="0.3">
      <c r="B358" t="s">
        <v>30</v>
      </c>
      <c r="C358">
        <v>2023</v>
      </c>
      <c r="D358" t="s">
        <v>31</v>
      </c>
      <c r="E358" s="40" t="s">
        <v>109</v>
      </c>
      <c r="F358">
        <v>174</v>
      </c>
      <c r="G358">
        <v>208.3</v>
      </c>
      <c r="H358">
        <v>192.9</v>
      </c>
      <c r="I358">
        <v>174.3</v>
      </c>
      <c r="J358">
        <v>192.6</v>
      </c>
      <c r="K358">
        <v>156.30000000000001</v>
      </c>
      <c r="L358">
        <v>142.9</v>
      </c>
      <c r="M358">
        <v>170.7</v>
      </c>
      <c r="N358">
        <v>120.3</v>
      </c>
      <c r="O358">
        <v>210.5</v>
      </c>
      <c r="P358">
        <v>176.9</v>
      </c>
      <c r="Q358">
        <v>188.5</v>
      </c>
      <c r="R358">
        <v>175</v>
      </c>
      <c r="S358">
        <v>196.9</v>
      </c>
      <c r="T358">
        <v>189</v>
      </c>
      <c r="U358">
        <v>186.3</v>
      </c>
      <c r="V358">
        <v>188.6</v>
      </c>
      <c r="W358">
        <v>172.1</v>
      </c>
      <c r="X358">
        <v>183.2</v>
      </c>
      <c r="Y358">
        <v>177.2</v>
      </c>
      <c r="Z358">
        <v>184.7</v>
      </c>
      <c r="AA358">
        <v>168.2</v>
      </c>
      <c r="AB358">
        <v>171.8</v>
      </c>
      <c r="AC358">
        <v>177.8</v>
      </c>
      <c r="AD358">
        <v>178.4</v>
      </c>
      <c r="AE358">
        <v>176.5</v>
      </c>
      <c r="AF358">
        <v>177.8</v>
      </c>
    </row>
    <row r="359" spans="2:32" x14ac:dyDescent="0.3">
      <c r="B359" t="s">
        <v>33</v>
      </c>
      <c r="C359">
        <v>2023</v>
      </c>
      <c r="D359" t="s">
        <v>31</v>
      </c>
      <c r="E359" s="40" t="s">
        <v>109</v>
      </c>
      <c r="F359">
        <v>173.3</v>
      </c>
      <c r="G359">
        <v>215.2</v>
      </c>
      <c r="H359">
        <v>197</v>
      </c>
      <c r="I359">
        <v>175.2</v>
      </c>
      <c r="J359">
        <v>178</v>
      </c>
      <c r="K359">
        <v>160.5</v>
      </c>
      <c r="L359">
        <v>175.3</v>
      </c>
      <c r="M359">
        <v>171.2</v>
      </c>
      <c r="N359">
        <v>122.7</v>
      </c>
      <c r="O359">
        <v>204.3</v>
      </c>
      <c r="P359">
        <v>163.69999999999999</v>
      </c>
      <c r="Q359">
        <v>194.3</v>
      </c>
      <c r="R359">
        <v>179.5</v>
      </c>
      <c r="S359">
        <v>201.6</v>
      </c>
      <c r="T359">
        <v>178.7</v>
      </c>
      <c r="U359">
        <v>165.3</v>
      </c>
      <c r="V359">
        <v>176.6</v>
      </c>
      <c r="W359">
        <v>172.1</v>
      </c>
      <c r="X359">
        <v>180.1</v>
      </c>
      <c r="Y359">
        <v>168</v>
      </c>
      <c r="Z359">
        <v>178.5</v>
      </c>
      <c r="AA359">
        <v>159.5</v>
      </c>
      <c r="AB359">
        <v>167.8</v>
      </c>
      <c r="AC359">
        <v>171.8</v>
      </c>
      <c r="AD359">
        <v>178.8</v>
      </c>
      <c r="AE359">
        <v>168.9</v>
      </c>
      <c r="AF359">
        <v>174.9</v>
      </c>
    </row>
    <row r="360" spans="2:32" x14ac:dyDescent="0.3">
      <c r="B360" t="s">
        <v>34</v>
      </c>
      <c r="C360">
        <v>2023</v>
      </c>
      <c r="D360" t="s">
        <v>31</v>
      </c>
      <c r="E360" s="40" t="s">
        <v>109</v>
      </c>
      <c r="F360">
        <v>173.8</v>
      </c>
      <c r="G360">
        <v>210.7</v>
      </c>
      <c r="H360">
        <v>194.5</v>
      </c>
      <c r="I360">
        <v>174.6</v>
      </c>
      <c r="J360">
        <v>187.2</v>
      </c>
      <c r="K360">
        <v>158.30000000000001</v>
      </c>
      <c r="L360">
        <v>153.9</v>
      </c>
      <c r="M360">
        <v>170.9</v>
      </c>
      <c r="N360">
        <v>121.1</v>
      </c>
      <c r="O360">
        <v>208.4</v>
      </c>
      <c r="P360">
        <v>171.4</v>
      </c>
      <c r="Q360">
        <v>191.2</v>
      </c>
      <c r="R360">
        <v>176.7</v>
      </c>
      <c r="S360">
        <v>198.2</v>
      </c>
      <c r="T360">
        <v>184.9</v>
      </c>
      <c r="U360">
        <v>177.6</v>
      </c>
      <c r="V360">
        <v>183.8</v>
      </c>
      <c r="W360">
        <v>172.1</v>
      </c>
      <c r="X360">
        <v>182</v>
      </c>
      <c r="Y360">
        <v>172.9</v>
      </c>
      <c r="Z360">
        <v>182.3</v>
      </c>
      <c r="AA360">
        <v>163.6</v>
      </c>
      <c r="AB360">
        <v>169.5</v>
      </c>
      <c r="AC360">
        <v>174.3</v>
      </c>
      <c r="AD360">
        <v>178.6</v>
      </c>
      <c r="AE360">
        <v>172.8</v>
      </c>
      <c r="AF360">
        <v>176.5</v>
      </c>
    </row>
    <row r="361" spans="2:32" x14ac:dyDescent="0.3">
      <c r="B361" t="s">
        <v>30</v>
      </c>
      <c r="C361">
        <v>2023</v>
      </c>
      <c r="D361" t="s">
        <v>35</v>
      </c>
      <c r="E361" s="40" t="s">
        <v>110</v>
      </c>
      <c r="F361">
        <v>174.2</v>
      </c>
      <c r="G361">
        <v>205.2</v>
      </c>
      <c r="H361">
        <v>173.9</v>
      </c>
      <c r="I361">
        <v>177</v>
      </c>
      <c r="J361">
        <v>183.4</v>
      </c>
      <c r="K361">
        <v>167.2</v>
      </c>
      <c r="L361">
        <v>140.9</v>
      </c>
      <c r="M361">
        <v>170.4</v>
      </c>
      <c r="N361">
        <v>119.1</v>
      </c>
      <c r="O361">
        <v>212.1</v>
      </c>
      <c r="P361">
        <v>177.6</v>
      </c>
      <c r="Q361">
        <v>189.9</v>
      </c>
      <c r="R361">
        <v>174.8</v>
      </c>
      <c r="S361">
        <v>198.3</v>
      </c>
      <c r="T361">
        <v>190</v>
      </c>
      <c r="U361">
        <v>187</v>
      </c>
      <c r="V361">
        <v>189.6</v>
      </c>
      <c r="W361">
        <v>173.5</v>
      </c>
      <c r="X361">
        <v>181.6</v>
      </c>
      <c r="Y361">
        <v>178.6</v>
      </c>
      <c r="Z361">
        <v>186.6</v>
      </c>
      <c r="AA361">
        <v>169</v>
      </c>
      <c r="AB361">
        <v>172.8</v>
      </c>
      <c r="AC361">
        <v>178.5</v>
      </c>
      <c r="AD361">
        <v>180.7</v>
      </c>
      <c r="AE361">
        <v>177.9</v>
      </c>
      <c r="AF361">
        <v>178</v>
      </c>
    </row>
    <row r="362" spans="2:32" x14ac:dyDescent="0.3">
      <c r="B362" t="s">
        <v>33</v>
      </c>
      <c r="C362">
        <v>2023</v>
      </c>
      <c r="D362" t="s">
        <v>35</v>
      </c>
      <c r="E362" s="40" t="s">
        <v>110</v>
      </c>
      <c r="F362">
        <v>174.7</v>
      </c>
      <c r="G362">
        <v>212.2</v>
      </c>
      <c r="H362">
        <v>177.2</v>
      </c>
      <c r="I362">
        <v>177.9</v>
      </c>
      <c r="J362">
        <v>172.2</v>
      </c>
      <c r="K362">
        <v>172.1</v>
      </c>
      <c r="L362">
        <v>175.8</v>
      </c>
      <c r="M362">
        <v>172.2</v>
      </c>
      <c r="N362">
        <v>121.9</v>
      </c>
      <c r="O362">
        <v>204.8</v>
      </c>
      <c r="P362">
        <v>164.9</v>
      </c>
      <c r="Q362">
        <v>196.6</v>
      </c>
      <c r="R362">
        <v>180.7</v>
      </c>
      <c r="S362">
        <v>202.7</v>
      </c>
      <c r="T362">
        <v>180.3</v>
      </c>
      <c r="U362">
        <v>167</v>
      </c>
      <c r="V362">
        <v>178.2</v>
      </c>
      <c r="W362">
        <v>173.5</v>
      </c>
      <c r="X362">
        <v>182.8</v>
      </c>
      <c r="Y362">
        <v>169.2</v>
      </c>
      <c r="Z362">
        <v>180.8</v>
      </c>
      <c r="AA362">
        <v>159.80000000000001</v>
      </c>
      <c r="AB362">
        <v>168.4</v>
      </c>
      <c r="AC362">
        <v>172.5</v>
      </c>
      <c r="AD362">
        <v>181.4</v>
      </c>
      <c r="AE362">
        <v>170</v>
      </c>
      <c r="AF362">
        <v>176.3</v>
      </c>
    </row>
    <row r="363" spans="2:32" x14ac:dyDescent="0.3">
      <c r="B363" t="s">
        <v>34</v>
      </c>
      <c r="C363">
        <v>2023</v>
      </c>
      <c r="D363" t="s">
        <v>35</v>
      </c>
      <c r="E363" s="40" t="s">
        <v>110</v>
      </c>
      <c r="F363">
        <v>174.4</v>
      </c>
      <c r="G363">
        <v>207.7</v>
      </c>
      <c r="H363">
        <v>175.2</v>
      </c>
      <c r="I363">
        <v>177.3</v>
      </c>
      <c r="J363">
        <v>179.3</v>
      </c>
      <c r="K363">
        <v>169.5</v>
      </c>
      <c r="L363">
        <v>152.69999999999999</v>
      </c>
      <c r="M363">
        <v>171</v>
      </c>
      <c r="N363">
        <v>120</v>
      </c>
      <c r="O363">
        <v>209.7</v>
      </c>
      <c r="P363">
        <v>172.3</v>
      </c>
      <c r="Q363">
        <v>193</v>
      </c>
      <c r="R363">
        <v>177</v>
      </c>
      <c r="S363">
        <v>199.5</v>
      </c>
      <c r="T363">
        <v>186.2</v>
      </c>
      <c r="U363">
        <v>178.7</v>
      </c>
      <c r="V363">
        <v>185.1</v>
      </c>
      <c r="W363">
        <v>173.5</v>
      </c>
      <c r="X363">
        <v>182.1</v>
      </c>
      <c r="Y363">
        <v>174.2</v>
      </c>
      <c r="Z363">
        <v>184.4</v>
      </c>
      <c r="AA363">
        <v>164.2</v>
      </c>
      <c r="AB363">
        <v>170.3</v>
      </c>
      <c r="AC363">
        <v>175</v>
      </c>
      <c r="AD363">
        <v>181</v>
      </c>
      <c r="AE363">
        <v>174.1</v>
      </c>
      <c r="AF363">
        <v>177.2</v>
      </c>
    </row>
    <row r="364" spans="2:32" x14ac:dyDescent="0.3">
      <c r="B364" t="s">
        <v>30</v>
      </c>
      <c r="C364">
        <v>2023</v>
      </c>
      <c r="D364" t="s">
        <v>36</v>
      </c>
      <c r="E364" s="40" t="s">
        <v>111</v>
      </c>
      <c r="F364">
        <v>174.3</v>
      </c>
      <c r="G364">
        <v>205.2</v>
      </c>
      <c r="H364">
        <v>173.9</v>
      </c>
      <c r="I364">
        <v>177</v>
      </c>
      <c r="J364">
        <v>183.3</v>
      </c>
      <c r="K364">
        <v>167.2</v>
      </c>
      <c r="L364">
        <v>140.9</v>
      </c>
      <c r="M364">
        <v>170.5</v>
      </c>
      <c r="N364">
        <v>119.1</v>
      </c>
      <c r="O364">
        <v>212.1</v>
      </c>
      <c r="P364">
        <v>177.6</v>
      </c>
      <c r="Q364">
        <v>189.9</v>
      </c>
      <c r="R364">
        <v>174.8</v>
      </c>
      <c r="S364">
        <v>198.4</v>
      </c>
      <c r="T364">
        <v>190</v>
      </c>
      <c r="U364">
        <v>187</v>
      </c>
      <c r="V364">
        <v>189.6</v>
      </c>
      <c r="W364">
        <v>173.5</v>
      </c>
      <c r="X364">
        <v>181.4</v>
      </c>
      <c r="Y364">
        <v>178.6</v>
      </c>
      <c r="Z364">
        <v>186.6</v>
      </c>
      <c r="AA364">
        <v>169</v>
      </c>
      <c r="AB364">
        <v>172.8</v>
      </c>
      <c r="AC364">
        <v>178.5</v>
      </c>
      <c r="AD364">
        <v>180.7</v>
      </c>
      <c r="AE364">
        <v>177.9</v>
      </c>
      <c r="AF364">
        <v>178</v>
      </c>
    </row>
    <row r="365" spans="2:32" x14ac:dyDescent="0.3">
      <c r="B365" t="s">
        <v>33</v>
      </c>
      <c r="C365">
        <v>2023</v>
      </c>
      <c r="D365" t="s">
        <v>36</v>
      </c>
      <c r="E365" s="40" t="s">
        <v>111</v>
      </c>
      <c r="F365">
        <v>174.7</v>
      </c>
      <c r="G365">
        <v>212.2</v>
      </c>
      <c r="H365">
        <v>177.2</v>
      </c>
      <c r="I365">
        <v>177.9</v>
      </c>
      <c r="J365">
        <v>172.2</v>
      </c>
      <c r="K365">
        <v>172.1</v>
      </c>
      <c r="L365">
        <v>175.9</v>
      </c>
      <c r="M365">
        <v>172.2</v>
      </c>
      <c r="N365">
        <v>121.9</v>
      </c>
      <c r="O365">
        <v>204.8</v>
      </c>
      <c r="P365">
        <v>164.9</v>
      </c>
      <c r="Q365">
        <v>196.6</v>
      </c>
      <c r="R365">
        <v>180.8</v>
      </c>
      <c r="S365">
        <v>202.7</v>
      </c>
      <c r="T365">
        <v>180.2</v>
      </c>
      <c r="U365">
        <v>167</v>
      </c>
      <c r="V365">
        <v>178.2</v>
      </c>
      <c r="W365">
        <v>173.5</v>
      </c>
      <c r="X365">
        <v>182.6</v>
      </c>
      <c r="Y365">
        <v>169.2</v>
      </c>
      <c r="Z365">
        <v>180.8</v>
      </c>
      <c r="AA365">
        <v>159.80000000000001</v>
      </c>
      <c r="AB365">
        <v>168.4</v>
      </c>
      <c r="AC365">
        <v>172.5</v>
      </c>
      <c r="AD365">
        <v>181.5</v>
      </c>
      <c r="AE365">
        <v>170</v>
      </c>
      <c r="AF365">
        <v>176.3</v>
      </c>
    </row>
    <row r="366" spans="2:32" x14ac:dyDescent="0.3">
      <c r="B366" t="s">
        <v>34</v>
      </c>
      <c r="C366">
        <v>2023</v>
      </c>
      <c r="D366" t="s">
        <v>36</v>
      </c>
      <c r="E366" s="40" t="s">
        <v>111</v>
      </c>
      <c r="F366">
        <v>174.4</v>
      </c>
      <c r="G366">
        <v>207.7</v>
      </c>
      <c r="H366">
        <v>175.2</v>
      </c>
      <c r="I366">
        <v>177.3</v>
      </c>
      <c r="J366">
        <v>179.2</v>
      </c>
      <c r="K366">
        <v>169.5</v>
      </c>
      <c r="L366">
        <v>152.80000000000001</v>
      </c>
      <c r="M366">
        <v>171.1</v>
      </c>
      <c r="N366">
        <v>120</v>
      </c>
      <c r="O366">
        <v>209.7</v>
      </c>
      <c r="P366">
        <v>172.3</v>
      </c>
      <c r="Q366">
        <v>193</v>
      </c>
      <c r="R366">
        <v>177</v>
      </c>
      <c r="S366">
        <v>199.5</v>
      </c>
      <c r="T366">
        <v>186.1</v>
      </c>
      <c r="U366">
        <v>178.7</v>
      </c>
      <c r="V366">
        <v>185.1</v>
      </c>
      <c r="W366">
        <v>173.5</v>
      </c>
      <c r="X366">
        <v>181.9</v>
      </c>
      <c r="Y366">
        <v>174.2</v>
      </c>
      <c r="Z366">
        <v>184.4</v>
      </c>
      <c r="AA366">
        <v>164.2</v>
      </c>
      <c r="AB366">
        <v>170.3</v>
      </c>
      <c r="AC366">
        <v>175</v>
      </c>
      <c r="AD366">
        <v>181</v>
      </c>
      <c r="AE366">
        <v>174.1</v>
      </c>
      <c r="AF366">
        <v>177.2</v>
      </c>
    </row>
    <row r="367" spans="2:32" x14ac:dyDescent="0.3">
      <c r="B367" t="s">
        <v>30</v>
      </c>
      <c r="C367">
        <v>2023</v>
      </c>
      <c r="D367" t="s">
        <v>37</v>
      </c>
      <c r="E367" s="40" t="s">
        <v>112</v>
      </c>
      <c r="F367">
        <v>173.3</v>
      </c>
      <c r="G367">
        <v>206.9</v>
      </c>
      <c r="H367">
        <v>167.9</v>
      </c>
      <c r="I367">
        <v>178.2</v>
      </c>
      <c r="J367">
        <v>178.5</v>
      </c>
      <c r="K367">
        <v>173.7</v>
      </c>
      <c r="L367">
        <v>142.80000000000001</v>
      </c>
      <c r="M367">
        <v>172.8</v>
      </c>
      <c r="N367">
        <v>120.4</v>
      </c>
      <c r="O367">
        <v>215.5</v>
      </c>
      <c r="P367">
        <v>178.2</v>
      </c>
      <c r="Q367">
        <v>190.5</v>
      </c>
      <c r="R367">
        <v>175.5</v>
      </c>
      <c r="S367">
        <v>199.5</v>
      </c>
      <c r="T367">
        <v>190.7</v>
      </c>
      <c r="U367">
        <v>187.3</v>
      </c>
      <c r="V367">
        <v>190.2</v>
      </c>
      <c r="W367">
        <v>175.2</v>
      </c>
      <c r="X367">
        <v>181.5</v>
      </c>
      <c r="Y367">
        <v>179.1</v>
      </c>
      <c r="Z367">
        <v>187.2</v>
      </c>
      <c r="AA367">
        <v>169.4</v>
      </c>
      <c r="AB367">
        <v>173.2</v>
      </c>
      <c r="AC367">
        <v>179.4</v>
      </c>
      <c r="AD367">
        <v>183.8</v>
      </c>
      <c r="AE367">
        <v>178.9</v>
      </c>
      <c r="AF367">
        <v>178.8</v>
      </c>
    </row>
    <row r="368" spans="2:32" x14ac:dyDescent="0.3">
      <c r="B368" t="s">
        <v>33</v>
      </c>
      <c r="C368">
        <v>2023</v>
      </c>
      <c r="D368" t="s">
        <v>37</v>
      </c>
      <c r="E368" s="40" t="s">
        <v>112</v>
      </c>
      <c r="F368">
        <v>174.8</v>
      </c>
      <c r="G368">
        <v>213.7</v>
      </c>
      <c r="H368">
        <v>172.4</v>
      </c>
      <c r="I368">
        <v>178.8</v>
      </c>
      <c r="J368">
        <v>168.7</v>
      </c>
      <c r="K368">
        <v>179.2</v>
      </c>
      <c r="L368">
        <v>179.9</v>
      </c>
      <c r="M368">
        <v>174.7</v>
      </c>
      <c r="N368">
        <v>123.1</v>
      </c>
      <c r="O368">
        <v>207.8</v>
      </c>
      <c r="P368">
        <v>165.5</v>
      </c>
      <c r="Q368">
        <v>197</v>
      </c>
      <c r="R368">
        <v>182.1</v>
      </c>
      <c r="S368">
        <v>203.5</v>
      </c>
      <c r="T368">
        <v>181</v>
      </c>
      <c r="U368">
        <v>167.7</v>
      </c>
      <c r="V368">
        <v>178.9</v>
      </c>
      <c r="W368">
        <v>175.2</v>
      </c>
      <c r="X368">
        <v>182.1</v>
      </c>
      <c r="Y368">
        <v>169.6</v>
      </c>
      <c r="Z368">
        <v>181.5</v>
      </c>
      <c r="AA368">
        <v>160.1</v>
      </c>
      <c r="AB368">
        <v>168.8</v>
      </c>
      <c r="AC368">
        <v>174.2</v>
      </c>
      <c r="AD368">
        <v>184.4</v>
      </c>
      <c r="AE368">
        <v>170.9</v>
      </c>
      <c r="AF368">
        <v>177.4</v>
      </c>
    </row>
    <row r="369" spans="2:32" x14ac:dyDescent="0.3">
      <c r="B369" t="s">
        <v>34</v>
      </c>
      <c r="C369">
        <v>2023</v>
      </c>
      <c r="D369" t="s">
        <v>37</v>
      </c>
      <c r="E369" s="40" t="s">
        <v>112</v>
      </c>
      <c r="F369">
        <v>173.8</v>
      </c>
      <c r="G369">
        <v>209.3</v>
      </c>
      <c r="H369">
        <v>169.6</v>
      </c>
      <c r="I369">
        <v>178.4</v>
      </c>
      <c r="J369">
        <v>174.9</v>
      </c>
      <c r="K369">
        <v>176.3</v>
      </c>
      <c r="L369">
        <v>155.4</v>
      </c>
      <c r="M369">
        <v>173.4</v>
      </c>
      <c r="N369">
        <v>121.3</v>
      </c>
      <c r="O369">
        <v>212.9</v>
      </c>
      <c r="P369">
        <v>172.9</v>
      </c>
      <c r="Q369">
        <v>193.5</v>
      </c>
      <c r="R369">
        <v>177.9</v>
      </c>
      <c r="S369">
        <v>200.6</v>
      </c>
      <c r="T369">
        <v>186.9</v>
      </c>
      <c r="U369">
        <v>179.2</v>
      </c>
      <c r="V369">
        <v>185.7</v>
      </c>
      <c r="W369">
        <v>175.2</v>
      </c>
      <c r="X369">
        <v>181.7</v>
      </c>
      <c r="Y369">
        <v>174.6</v>
      </c>
      <c r="Z369">
        <v>185</v>
      </c>
      <c r="AA369">
        <v>164.5</v>
      </c>
      <c r="AB369">
        <v>170.7</v>
      </c>
      <c r="AC369">
        <v>176.4</v>
      </c>
      <c r="AD369">
        <v>184</v>
      </c>
      <c r="AE369">
        <v>175</v>
      </c>
      <c r="AF369">
        <v>178.1</v>
      </c>
    </row>
    <row r="370" spans="2:32" x14ac:dyDescent="0.3">
      <c r="B370" t="s">
        <v>30</v>
      </c>
      <c r="C370">
        <v>2023</v>
      </c>
      <c r="D370" t="s">
        <v>38</v>
      </c>
      <c r="E370" s="40" t="s">
        <v>114</v>
      </c>
      <c r="F370">
        <v>173.2</v>
      </c>
      <c r="G370">
        <v>211.5</v>
      </c>
      <c r="H370">
        <v>171</v>
      </c>
      <c r="I370">
        <v>179.6</v>
      </c>
      <c r="J370">
        <v>173.3</v>
      </c>
      <c r="K370">
        <v>169</v>
      </c>
      <c r="L370">
        <v>148.69999999999999</v>
      </c>
      <c r="M370">
        <v>174.9</v>
      </c>
      <c r="N370">
        <v>121.9</v>
      </c>
      <c r="O370">
        <v>221</v>
      </c>
      <c r="P370">
        <v>178.7</v>
      </c>
      <c r="Q370">
        <v>191.1</v>
      </c>
      <c r="R370">
        <v>176.8</v>
      </c>
      <c r="S370">
        <v>199.9</v>
      </c>
      <c r="T370">
        <v>191.2</v>
      </c>
      <c r="U370">
        <v>187.9</v>
      </c>
      <c r="V370">
        <v>190.8</v>
      </c>
      <c r="W370">
        <v>175.6</v>
      </c>
      <c r="X370">
        <v>182.5</v>
      </c>
      <c r="Y370">
        <v>179.8</v>
      </c>
      <c r="Z370">
        <v>187.8</v>
      </c>
      <c r="AA370">
        <v>169.7</v>
      </c>
      <c r="AB370">
        <v>173.8</v>
      </c>
      <c r="AC370">
        <v>180.3</v>
      </c>
      <c r="AD370">
        <v>184.9</v>
      </c>
      <c r="AE370">
        <v>179.5</v>
      </c>
      <c r="AF370">
        <v>179.8</v>
      </c>
    </row>
    <row r="371" spans="2:32" x14ac:dyDescent="0.3">
      <c r="B371" t="s">
        <v>33</v>
      </c>
      <c r="C371">
        <v>2023</v>
      </c>
      <c r="D371" t="s">
        <v>38</v>
      </c>
      <c r="E371" s="40" t="s">
        <v>114</v>
      </c>
      <c r="F371">
        <v>174.7</v>
      </c>
      <c r="G371">
        <v>219.4</v>
      </c>
      <c r="H371">
        <v>176.7</v>
      </c>
      <c r="I371">
        <v>179.4</v>
      </c>
      <c r="J371">
        <v>164.4</v>
      </c>
      <c r="K371">
        <v>175.8</v>
      </c>
      <c r="L371">
        <v>185</v>
      </c>
      <c r="M371">
        <v>176.9</v>
      </c>
      <c r="N371">
        <v>124.2</v>
      </c>
      <c r="O371">
        <v>211.9</v>
      </c>
      <c r="P371">
        <v>165.9</v>
      </c>
      <c r="Q371">
        <v>197.7</v>
      </c>
      <c r="R371">
        <v>183.1</v>
      </c>
      <c r="S371">
        <v>204.2</v>
      </c>
      <c r="T371">
        <v>181.3</v>
      </c>
      <c r="U371">
        <v>168.1</v>
      </c>
      <c r="V371">
        <v>179.3</v>
      </c>
      <c r="W371">
        <v>175.6</v>
      </c>
      <c r="X371">
        <v>183.4</v>
      </c>
      <c r="Y371">
        <v>170.1</v>
      </c>
      <c r="Z371">
        <v>182.2</v>
      </c>
      <c r="AA371">
        <v>160.4</v>
      </c>
      <c r="AB371">
        <v>169.2</v>
      </c>
      <c r="AC371">
        <v>174.8</v>
      </c>
      <c r="AD371">
        <v>185.6</v>
      </c>
      <c r="AE371">
        <v>171.6</v>
      </c>
      <c r="AF371">
        <v>178.2</v>
      </c>
    </row>
    <row r="372" spans="2:32" x14ac:dyDescent="0.3">
      <c r="B372" t="s">
        <v>34</v>
      </c>
      <c r="C372">
        <v>2023</v>
      </c>
      <c r="D372" t="s">
        <v>38</v>
      </c>
      <c r="E372" s="40" t="s">
        <v>114</v>
      </c>
      <c r="F372">
        <v>173.7</v>
      </c>
      <c r="G372">
        <v>214.3</v>
      </c>
      <c r="H372">
        <v>173.2</v>
      </c>
      <c r="I372">
        <v>179.5</v>
      </c>
      <c r="J372">
        <v>170</v>
      </c>
      <c r="K372">
        <v>172.2</v>
      </c>
      <c r="L372">
        <v>161</v>
      </c>
      <c r="M372">
        <v>175.6</v>
      </c>
      <c r="N372">
        <v>122.7</v>
      </c>
      <c r="O372">
        <v>218</v>
      </c>
      <c r="P372">
        <v>173.4</v>
      </c>
      <c r="Q372">
        <v>194.2</v>
      </c>
      <c r="R372">
        <v>179.1</v>
      </c>
      <c r="S372">
        <v>201</v>
      </c>
      <c r="T372">
        <v>187.3</v>
      </c>
      <c r="U372">
        <v>179.7</v>
      </c>
      <c r="V372">
        <v>186.2</v>
      </c>
      <c r="W372">
        <v>175.6</v>
      </c>
      <c r="X372">
        <v>182.8</v>
      </c>
      <c r="Y372">
        <v>175.2</v>
      </c>
      <c r="Z372">
        <v>185.7</v>
      </c>
      <c r="AA372">
        <v>164.8</v>
      </c>
      <c r="AB372">
        <v>171.2</v>
      </c>
      <c r="AC372">
        <v>177.1</v>
      </c>
      <c r="AD372">
        <v>185.2</v>
      </c>
      <c r="AE372">
        <v>175.7</v>
      </c>
      <c r="AF372">
        <v>179.1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1B21-C074-4D4D-85B5-FB6ECEF40971}">
  <dimension ref="B1:U64"/>
  <sheetViews>
    <sheetView zoomScale="39" workbookViewId="0">
      <selection activeCell="H5" sqref="H5"/>
    </sheetView>
  </sheetViews>
  <sheetFormatPr defaultRowHeight="14.4" x14ac:dyDescent="0.3"/>
  <cols>
    <col min="3" max="4" width="14.5546875" bestFit="1" customWidth="1"/>
    <col min="5" max="5" width="15.109375" bestFit="1" customWidth="1"/>
    <col min="6" max="6" width="20" bestFit="1" customWidth="1"/>
    <col min="7" max="7" width="34.88671875" bestFit="1" customWidth="1"/>
    <col min="8" max="8" width="26.44140625" bestFit="1" customWidth="1"/>
    <col min="9" max="9" width="17.77734375" bestFit="1" customWidth="1"/>
    <col min="10" max="10" width="29.77734375" bestFit="1" customWidth="1"/>
    <col min="11" max="11" width="12.77734375" bestFit="1" customWidth="1"/>
    <col min="12" max="12" width="19.109375" bestFit="1" customWidth="1"/>
    <col min="13" max="13" width="13.33203125" bestFit="1" customWidth="1"/>
    <col min="14" max="14" width="29.88671875" bestFit="1" customWidth="1"/>
    <col min="15" max="15" width="25.88671875" bestFit="1" customWidth="1"/>
    <col min="16" max="16" width="40.44140625" bestFit="1" customWidth="1"/>
    <col min="17" max="17" width="18" customWidth="1"/>
    <col min="18" max="18" width="8.88671875" customWidth="1"/>
    <col min="19" max="19" width="10" customWidth="1"/>
    <col min="20" max="20" width="9" customWidth="1"/>
    <col min="21" max="21" width="13.88671875" customWidth="1"/>
    <col min="25" max="25" width="22" customWidth="1"/>
  </cols>
  <sheetData>
    <row r="1" spans="2:20" ht="21" x14ac:dyDescent="0.4">
      <c r="B1" s="5" t="s">
        <v>59</v>
      </c>
    </row>
    <row r="2" spans="2:20" x14ac:dyDescent="0.3">
      <c r="B2" s="4"/>
    </row>
    <row r="4" spans="2:20" ht="15.6" x14ac:dyDescent="0.3">
      <c r="C4" s="7" t="s">
        <v>68</v>
      </c>
      <c r="D4" s="9"/>
    </row>
    <row r="5" spans="2:20" x14ac:dyDescent="0.3">
      <c r="C5" s="2" t="s">
        <v>2</v>
      </c>
      <c r="D5" t="s">
        <v>38</v>
      </c>
    </row>
    <row r="6" spans="2:20" x14ac:dyDescent="0.3">
      <c r="C6" s="2" t="s">
        <v>1</v>
      </c>
      <c r="D6" s="3">
        <v>2023</v>
      </c>
    </row>
    <row r="8" spans="2:20" x14ac:dyDescent="0.3">
      <c r="C8" s="2" t="s">
        <v>50</v>
      </c>
      <c r="D8" t="s">
        <v>60</v>
      </c>
      <c r="E8" t="s">
        <v>66</v>
      </c>
      <c r="F8" t="s">
        <v>61</v>
      </c>
      <c r="G8" t="s">
        <v>79</v>
      </c>
      <c r="H8" t="s">
        <v>62</v>
      </c>
      <c r="I8" t="s">
        <v>65</v>
      </c>
      <c r="J8" t="s">
        <v>73</v>
      </c>
      <c r="K8" t="s">
        <v>64</v>
      </c>
      <c r="L8" t="s">
        <v>63</v>
      </c>
      <c r="M8" t="s">
        <v>74</v>
      </c>
      <c r="N8" t="s">
        <v>75</v>
      </c>
      <c r="O8" t="s">
        <v>77</v>
      </c>
      <c r="P8" t="s">
        <v>76</v>
      </c>
    </row>
    <row r="9" spans="2:20" x14ac:dyDescent="0.3">
      <c r="C9" s="3" t="s">
        <v>30</v>
      </c>
      <c r="D9">
        <v>179.6</v>
      </c>
      <c r="E9">
        <v>174.9</v>
      </c>
      <c r="F9">
        <v>171</v>
      </c>
      <c r="G9">
        <v>211.5</v>
      </c>
      <c r="H9">
        <v>173.2</v>
      </c>
      <c r="I9">
        <v>148.69999999999999</v>
      </c>
      <c r="J9">
        <v>121.9</v>
      </c>
      <c r="K9">
        <v>169</v>
      </c>
      <c r="L9">
        <v>173.3</v>
      </c>
      <c r="M9">
        <v>221</v>
      </c>
      <c r="N9">
        <v>178.7</v>
      </c>
      <c r="O9">
        <v>176.8</v>
      </c>
      <c r="P9">
        <v>191.1</v>
      </c>
      <c r="R9">
        <f>SUM(D9:P9)</f>
        <v>2290.7000000000003</v>
      </c>
      <c r="S9">
        <f>COUNT(D9:Q9)</f>
        <v>13</v>
      </c>
      <c r="T9">
        <f>R9/S9</f>
        <v>176.20769230769233</v>
      </c>
    </row>
    <row r="10" spans="2:20" x14ac:dyDescent="0.3">
      <c r="C10" s="3" t="s">
        <v>34</v>
      </c>
      <c r="D10">
        <v>179.5</v>
      </c>
      <c r="E10">
        <v>175.6</v>
      </c>
      <c r="F10">
        <v>173.2</v>
      </c>
      <c r="G10">
        <v>214.3</v>
      </c>
      <c r="H10">
        <v>173.7</v>
      </c>
      <c r="I10">
        <v>161</v>
      </c>
      <c r="J10">
        <v>122.7</v>
      </c>
      <c r="K10">
        <v>172.2</v>
      </c>
      <c r="L10">
        <v>170</v>
      </c>
      <c r="M10">
        <v>218</v>
      </c>
      <c r="N10">
        <v>173.4</v>
      </c>
      <c r="O10">
        <v>179.1</v>
      </c>
      <c r="P10">
        <v>194.2</v>
      </c>
      <c r="R10">
        <f>SUM(D10:P10)</f>
        <v>2306.9</v>
      </c>
      <c r="S10">
        <f t="shared" ref="S10:S11" si="0">COUNT(D10:Q10)</f>
        <v>13</v>
      </c>
      <c r="T10">
        <f t="shared" ref="T10:T11" si="1">R10/S10</f>
        <v>177.45384615384617</v>
      </c>
    </row>
    <row r="11" spans="2:20" x14ac:dyDescent="0.3">
      <c r="C11" s="3" t="s">
        <v>33</v>
      </c>
      <c r="D11">
        <v>179.4</v>
      </c>
      <c r="E11">
        <v>176.9</v>
      </c>
      <c r="F11">
        <v>176.7</v>
      </c>
      <c r="G11">
        <v>219.4</v>
      </c>
      <c r="H11">
        <v>174.7</v>
      </c>
      <c r="I11">
        <v>185</v>
      </c>
      <c r="J11">
        <v>124.2</v>
      </c>
      <c r="K11">
        <v>175.8</v>
      </c>
      <c r="L11">
        <v>164.4</v>
      </c>
      <c r="M11">
        <v>211.9</v>
      </c>
      <c r="N11">
        <v>165.9</v>
      </c>
      <c r="O11">
        <v>183.1</v>
      </c>
      <c r="P11">
        <v>197.7</v>
      </c>
      <c r="R11">
        <f>SUM(D11:P11)</f>
        <v>2335.1</v>
      </c>
      <c r="S11">
        <f t="shared" si="0"/>
        <v>13</v>
      </c>
      <c r="T11">
        <f t="shared" si="1"/>
        <v>179.62307692307692</v>
      </c>
    </row>
    <row r="12" spans="2:20" x14ac:dyDescent="0.3">
      <c r="C12" s="3" t="s">
        <v>51</v>
      </c>
      <c r="D12">
        <v>538.5</v>
      </c>
      <c r="E12">
        <v>527.4</v>
      </c>
      <c r="F12">
        <v>520.9</v>
      </c>
      <c r="G12">
        <v>645.20000000000005</v>
      </c>
      <c r="H12">
        <v>521.59999999999991</v>
      </c>
      <c r="I12">
        <v>494.7</v>
      </c>
      <c r="J12">
        <v>368.8</v>
      </c>
      <c r="K12">
        <v>517</v>
      </c>
      <c r="L12">
        <v>507.70000000000005</v>
      </c>
      <c r="M12">
        <v>650.9</v>
      </c>
      <c r="N12">
        <v>518</v>
      </c>
      <c r="O12">
        <v>539</v>
      </c>
      <c r="P12">
        <v>583</v>
      </c>
    </row>
    <row r="16" spans="2:20" x14ac:dyDescent="0.3">
      <c r="K16" s="6" t="s">
        <v>72</v>
      </c>
      <c r="L16" s="6" t="s">
        <v>71</v>
      </c>
    </row>
    <row r="17" spans="4:21" x14ac:dyDescent="0.3">
      <c r="K17" t="s">
        <v>3</v>
      </c>
      <c r="L17" s="55" t="s">
        <v>68</v>
      </c>
    </row>
    <row r="18" spans="4:21" ht="15.6" x14ac:dyDescent="0.3">
      <c r="D18" s="7" t="s">
        <v>69</v>
      </c>
      <c r="E18" s="9"/>
      <c r="K18" t="s">
        <v>4</v>
      </c>
      <c r="L18" s="55"/>
    </row>
    <row r="19" spans="4:21" x14ac:dyDescent="0.3">
      <c r="D19" s="2" t="s">
        <v>2</v>
      </c>
      <c r="E19" t="s">
        <v>38</v>
      </c>
      <c r="K19" t="s">
        <v>5</v>
      </c>
      <c r="L19" s="55"/>
    </row>
    <row r="20" spans="4:21" x14ac:dyDescent="0.3">
      <c r="D20" s="2" t="s">
        <v>1</v>
      </c>
      <c r="E20" s="3">
        <v>2023</v>
      </c>
      <c r="K20" t="s">
        <v>6</v>
      </c>
      <c r="L20" s="55"/>
    </row>
    <row r="21" spans="4:21" x14ac:dyDescent="0.3">
      <c r="K21" t="s">
        <v>7</v>
      </c>
      <c r="L21" s="55"/>
    </row>
    <row r="22" spans="4:21" x14ac:dyDescent="0.3">
      <c r="D22" s="2" t="s">
        <v>50</v>
      </c>
      <c r="E22" t="s">
        <v>80</v>
      </c>
      <c r="F22" t="s">
        <v>83</v>
      </c>
      <c r="K22" t="s">
        <v>8</v>
      </c>
      <c r="L22" s="55"/>
    </row>
    <row r="23" spans="4:21" x14ac:dyDescent="0.3">
      <c r="D23" s="3" t="s">
        <v>30</v>
      </c>
      <c r="E23">
        <v>190.8</v>
      </c>
      <c r="F23">
        <v>187.9</v>
      </c>
      <c r="H23">
        <f>SUM(E23:G23)/COUNT(E23:G23)</f>
        <v>189.35000000000002</v>
      </c>
      <c r="K23" t="s">
        <v>9</v>
      </c>
      <c r="L23" s="55"/>
    </row>
    <row r="24" spans="4:21" x14ac:dyDescent="0.3">
      <c r="D24" s="3" t="s">
        <v>34</v>
      </c>
      <c r="E24">
        <v>186.2</v>
      </c>
      <c r="F24">
        <v>179.7</v>
      </c>
      <c r="H24">
        <f t="shared" ref="H24:H25" si="2">SUM(E24:G24)/COUNT(E24:G24)</f>
        <v>182.95</v>
      </c>
      <c r="K24" t="s">
        <v>10</v>
      </c>
      <c r="L24" s="55"/>
    </row>
    <row r="25" spans="4:21" ht="15.6" x14ac:dyDescent="0.3">
      <c r="D25" s="3" t="s">
        <v>33</v>
      </c>
      <c r="E25">
        <v>179.3</v>
      </c>
      <c r="F25">
        <v>168.1</v>
      </c>
      <c r="H25">
        <f t="shared" si="2"/>
        <v>173.7</v>
      </c>
      <c r="K25" t="s">
        <v>11</v>
      </c>
      <c r="L25" s="55"/>
      <c r="N25" s="9" t="s">
        <v>72</v>
      </c>
      <c r="O25" s="10" t="s">
        <v>92</v>
      </c>
      <c r="P25" s="7" t="s">
        <v>69</v>
      </c>
      <c r="Q25" s="7" t="s">
        <v>67</v>
      </c>
      <c r="R25" s="10" t="s">
        <v>23</v>
      </c>
      <c r="S25" s="10" t="s">
        <v>26</v>
      </c>
      <c r="T25" s="10" t="s">
        <v>90</v>
      </c>
      <c r="U25" s="10" t="s">
        <v>91</v>
      </c>
    </row>
    <row r="26" spans="4:21" x14ac:dyDescent="0.3">
      <c r="D26" s="3" t="s">
        <v>51</v>
      </c>
      <c r="E26">
        <v>556.29999999999995</v>
      </c>
      <c r="F26">
        <v>535.70000000000005</v>
      </c>
      <c r="K26" t="s">
        <v>12</v>
      </c>
      <c r="L26" s="55"/>
      <c r="N26" s="24" t="s">
        <v>30</v>
      </c>
      <c r="O26" s="11">
        <v>176.20769230769233</v>
      </c>
      <c r="P26" s="11">
        <v>189.9666666666667</v>
      </c>
      <c r="Q26" s="11">
        <v>179.30000000000004</v>
      </c>
      <c r="R26" s="11">
        <v>187.8</v>
      </c>
      <c r="S26" s="11">
        <v>180.3</v>
      </c>
      <c r="T26" s="11">
        <v>186.20000000000002</v>
      </c>
      <c r="U26" s="11">
        <v>169.7</v>
      </c>
    </row>
    <row r="27" spans="4:21" x14ac:dyDescent="0.3">
      <c r="K27" t="s">
        <v>13</v>
      </c>
      <c r="L27" s="55"/>
      <c r="N27" s="24" t="s">
        <v>34</v>
      </c>
      <c r="O27" s="11">
        <v>177.45384615384617</v>
      </c>
      <c r="P27" s="11">
        <v>184.4</v>
      </c>
      <c r="Q27" s="11">
        <v>177.86666666666665</v>
      </c>
      <c r="R27" s="11">
        <v>185.7</v>
      </c>
      <c r="S27" s="11">
        <v>177.1</v>
      </c>
      <c r="T27" s="11">
        <v>185.79999999999998</v>
      </c>
      <c r="U27" s="11">
        <v>164.8</v>
      </c>
    </row>
    <row r="28" spans="4:21" x14ac:dyDescent="0.3">
      <c r="K28" t="s">
        <v>14</v>
      </c>
      <c r="L28" s="55"/>
      <c r="N28" s="24" t="s">
        <v>33</v>
      </c>
      <c r="O28" s="11">
        <v>179.62307692307692</v>
      </c>
      <c r="P28" s="11">
        <v>176.23333333333335</v>
      </c>
      <c r="Q28" s="11">
        <v>176.36666666666667</v>
      </c>
      <c r="R28" s="11">
        <v>182.2</v>
      </c>
      <c r="S28" s="11">
        <v>174.8</v>
      </c>
      <c r="T28" s="11">
        <v>186.33333333333334</v>
      </c>
      <c r="U28" s="11">
        <v>160.4</v>
      </c>
    </row>
    <row r="29" spans="4:21" x14ac:dyDescent="0.3">
      <c r="K29" t="s">
        <v>15</v>
      </c>
      <c r="L29" s="55"/>
    </row>
    <row r="30" spans="4:21" x14ac:dyDescent="0.3">
      <c r="K30" t="s">
        <v>17</v>
      </c>
      <c r="L30" s="56" t="s">
        <v>69</v>
      </c>
    </row>
    <row r="31" spans="4:21" x14ac:dyDescent="0.3">
      <c r="K31" t="s">
        <v>18</v>
      </c>
      <c r="L31" s="56"/>
    </row>
    <row r="32" spans="4:21" ht="15.6" x14ac:dyDescent="0.3">
      <c r="D32" s="7" t="s">
        <v>67</v>
      </c>
      <c r="E32" s="9"/>
      <c r="K32" t="s">
        <v>19</v>
      </c>
      <c r="L32" s="56"/>
      <c r="N32" s="13" t="s">
        <v>72</v>
      </c>
      <c r="O32" s="14" t="s">
        <v>30</v>
      </c>
      <c r="P32" s="14" t="s">
        <v>33</v>
      </c>
      <c r="Q32" s="14" t="s">
        <v>34</v>
      </c>
      <c r="R32" s="14" t="s">
        <v>95</v>
      </c>
      <c r="S32" s="14" t="s">
        <v>96</v>
      </c>
      <c r="T32" s="14" t="s">
        <v>97</v>
      </c>
    </row>
    <row r="33" spans="4:20" x14ac:dyDescent="0.3">
      <c r="D33" s="2" t="s">
        <v>2</v>
      </c>
      <c r="E33" t="s">
        <v>38</v>
      </c>
      <c r="K33" t="s">
        <v>20</v>
      </c>
      <c r="L33" s="57" t="s">
        <v>67</v>
      </c>
      <c r="N33" s="15" t="s">
        <v>92</v>
      </c>
      <c r="O33" s="11">
        <v>176.20769230769233</v>
      </c>
      <c r="P33" s="11">
        <v>179.62307692307692</v>
      </c>
      <c r="Q33" s="11">
        <v>177.45384615384617</v>
      </c>
      <c r="R33" s="12">
        <f t="shared" ref="R33:R39" si="3">(O33/$O$40)</f>
        <v>0.13880366394328361</v>
      </c>
      <c r="S33" s="12">
        <f t="shared" ref="S33:S39" si="4">(P33/$P$40)</f>
        <v>0.14533123938069345</v>
      </c>
      <c r="T33" s="12">
        <f t="shared" ref="T33:T39" si="5">(Q33/$Q$40)</f>
        <v>0.14160956136168784</v>
      </c>
    </row>
    <row r="34" spans="4:20" ht="15.6" x14ac:dyDescent="0.3">
      <c r="D34" s="2" t="s">
        <v>1</v>
      </c>
      <c r="E34" s="3">
        <v>2023</v>
      </c>
      <c r="K34" t="s">
        <v>21</v>
      </c>
      <c r="L34" s="58"/>
      <c r="N34" s="16" t="s">
        <v>69</v>
      </c>
      <c r="O34" s="11">
        <v>189.9666666666667</v>
      </c>
      <c r="P34" s="11">
        <v>176.23333333333335</v>
      </c>
      <c r="Q34" s="11">
        <v>184.4</v>
      </c>
      <c r="R34" s="12">
        <f t="shared" si="3"/>
        <v>0.14964198790131186</v>
      </c>
      <c r="S34" s="12">
        <f t="shared" si="4"/>
        <v>0.1425886316628045</v>
      </c>
      <c r="T34" s="12">
        <f t="shared" si="5"/>
        <v>0.14715264662371066</v>
      </c>
    </row>
    <row r="35" spans="4:20" ht="15.6" x14ac:dyDescent="0.3">
      <c r="K35" t="s">
        <v>22</v>
      </c>
      <c r="L35" s="58"/>
      <c r="N35" s="16" t="s">
        <v>67</v>
      </c>
      <c r="O35" s="11">
        <v>179.30000000000004</v>
      </c>
      <c r="P35" s="11">
        <v>176.36666666666667</v>
      </c>
      <c r="Q35" s="11">
        <v>177.86666666666665</v>
      </c>
      <c r="R35" s="12">
        <f t="shared" si="3"/>
        <v>0.14123956008442826</v>
      </c>
      <c r="S35" s="12">
        <f t="shared" si="4"/>
        <v>0.14269651033249453</v>
      </c>
      <c r="T35" s="12">
        <f t="shared" si="5"/>
        <v>0.1419389953695083</v>
      </c>
    </row>
    <row r="36" spans="4:20" x14ac:dyDescent="0.3">
      <c r="D36" s="2" t="s">
        <v>50</v>
      </c>
      <c r="E36" t="s">
        <v>81</v>
      </c>
      <c r="F36" t="s">
        <v>82</v>
      </c>
      <c r="G36" t="s">
        <v>84</v>
      </c>
      <c r="K36" s="59" t="s">
        <v>23</v>
      </c>
      <c r="L36" s="59"/>
      <c r="N36" s="15" t="s">
        <v>23</v>
      </c>
      <c r="O36" s="11">
        <v>187.8</v>
      </c>
      <c r="P36" s="11">
        <v>182.2</v>
      </c>
      <c r="Q36" s="11">
        <v>185.7</v>
      </c>
      <c r="R36" s="12">
        <f t="shared" si="3"/>
        <v>0.14793524475100736</v>
      </c>
      <c r="S36" s="12">
        <f t="shared" si="4"/>
        <v>0.14741620213143355</v>
      </c>
      <c r="T36" s="12">
        <f t="shared" si="5"/>
        <v>0.14819005682225089</v>
      </c>
    </row>
    <row r="37" spans="4:20" x14ac:dyDescent="0.3">
      <c r="D37" s="3" t="s">
        <v>30</v>
      </c>
      <c r="E37">
        <v>175.6</v>
      </c>
      <c r="F37">
        <v>182.5</v>
      </c>
      <c r="G37">
        <v>179.8</v>
      </c>
      <c r="H37">
        <f>SUM(E37:G37)/COUNT(E37:G37)</f>
        <v>179.30000000000004</v>
      </c>
      <c r="K37" s="60" t="s">
        <v>26</v>
      </c>
      <c r="L37" s="60"/>
      <c r="N37" s="15" t="s">
        <v>26</v>
      </c>
      <c r="O37" s="11">
        <v>180.3</v>
      </c>
      <c r="P37" s="11">
        <v>174.8</v>
      </c>
      <c r="Q37" s="11">
        <v>177.1</v>
      </c>
      <c r="R37" s="12">
        <f t="shared" si="3"/>
        <v>0.14202728769226108</v>
      </c>
      <c r="S37" s="12">
        <f t="shared" si="4"/>
        <v>0.14142893596363659</v>
      </c>
      <c r="T37" s="12">
        <f t="shared" si="5"/>
        <v>0.14132718935498456</v>
      </c>
    </row>
    <row r="38" spans="4:20" x14ac:dyDescent="0.3">
      <c r="D38" s="3" t="s">
        <v>34</v>
      </c>
      <c r="E38">
        <v>175.6</v>
      </c>
      <c r="F38">
        <v>182.8</v>
      </c>
      <c r="G38">
        <v>175.2</v>
      </c>
      <c r="H38">
        <f t="shared" ref="H38:H39" si="6">SUM(E38:G38)/COUNT(E38:G38)</f>
        <v>177.86666666666665</v>
      </c>
      <c r="K38" s="52" t="s">
        <v>24</v>
      </c>
      <c r="L38" s="52"/>
      <c r="N38" s="15" t="s">
        <v>90</v>
      </c>
      <c r="O38" s="11">
        <v>186.20000000000002</v>
      </c>
      <c r="P38" s="11">
        <v>186.33333333333334</v>
      </c>
      <c r="Q38" s="11">
        <v>185.79999999999998</v>
      </c>
      <c r="R38" s="12">
        <f t="shared" si="3"/>
        <v>0.14667488057847483</v>
      </c>
      <c r="S38" s="12">
        <f t="shared" si="4"/>
        <v>0.15076044089182467</v>
      </c>
      <c r="T38" s="12">
        <f t="shared" si="5"/>
        <v>0.14826985760675399</v>
      </c>
    </row>
    <row r="39" spans="4:20" x14ac:dyDescent="0.3">
      <c r="D39" s="3" t="s">
        <v>33</v>
      </c>
      <c r="E39">
        <v>175.6</v>
      </c>
      <c r="F39">
        <v>183.4</v>
      </c>
      <c r="G39">
        <v>170.1</v>
      </c>
      <c r="H39">
        <f t="shared" si="6"/>
        <v>176.36666666666667</v>
      </c>
      <c r="K39" t="s">
        <v>25</v>
      </c>
      <c r="L39" s="53" t="s">
        <v>70</v>
      </c>
      <c r="N39" s="15" t="s">
        <v>91</v>
      </c>
      <c r="O39" s="11">
        <v>169.7</v>
      </c>
      <c r="P39" s="11">
        <v>160.4</v>
      </c>
      <c r="Q39" s="11">
        <v>164.8</v>
      </c>
      <c r="R39" s="12">
        <f t="shared" si="3"/>
        <v>0.13367737504923294</v>
      </c>
      <c r="S39" s="12">
        <f t="shared" si="4"/>
        <v>0.12977803963711276</v>
      </c>
      <c r="T39" s="12">
        <f t="shared" si="5"/>
        <v>0.13151169286110367</v>
      </c>
    </row>
    <row r="40" spans="4:20" x14ac:dyDescent="0.3">
      <c r="D40" s="3" t="s">
        <v>51</v>
      </c>
      <c r="E40">
        <v>526.79999999999995</v>
      </c>
      <c r="F40">
        <v>548.70000000000005</v>
      </c>
      <c r="G40">
        <v>525.1</v>
      </c>
      <c r="K40" t="s">
        <v>27</v>
      </c>
      <c r="L40" s="53"/>
      <c r="N40" s="10" t="s">
        <v>94</v>
      </c>
      <c r="O40" s="11">
        <f>SUM(O33:O39)</f>
        <v>1269.4743589743591</v>
      </c>
      <c r="P40" s="11">
        <f>SUM(P33:P39)</f>
        <v>1235.9564102564102</v>
      </c>
      <c r="Q40" s="11">
        <f>SUM(Q33:Q39)</f>
        <v>1253.1205128205129</v>
      </c>
    </row>
    <row r="41" spans="4:20" x14ac:dyDescent="0.3">
      <c r="K41" t="s">
        <v>16</v>
      </c>
      <c r="L41" s="53"/>
    </row>
    <row r="44" spans="4:20" x14ac:dyDescent="0.3">
      <c r="D44" s="59" t="s">
        <v>23</v>
      </c>
      <c r="E44" s="59"/>
      <c r="G44" s="8" t="s">
        <v>90</v>
      </c>
    </row>
    <row r="45" spans="4:20" x14ac:dyDescent="0.3">
      <c r="D45" s="2" t="s">
        <v>2</v>
      </c>
      <c r="E45" t="s">
        <v>38</v>
      </c>
      <c r="G45" s="2" t="s">
        <v>2</v>
      </c>
      <c r="H45" t="s">
        <v>38</v>
      </c>
    </row>
    <row r="46" spans="4:20" x14ac:dyDescent="0.3">
      <c r="D46" s="2" t="s">
        <v>1</v>
      </c>
      <c r="E46" s="3">
        <v>2023</v>
      </c>
      <c r="G46" s="2" t="s">
        <v>1</v>
      </c>
      <c r="H46" s="3">
        <v>2023</v>
      </c>
      <c r="Q46" s="23"/>
      <c r="R46" s="23"/>
    </row>
    <row r="48" spans="4:20" x14ac:dyDescent="0.3">
      <c r="D48" s="2" t="s">
        <v>50</v>
      </c>
      <c r="E48" t="s">
        <v>85</v>
      </c>
      <c r="G48" s="2" t="s">
        <v>50</v>
      </c>
      <c r="H48" t="s">
        <v>87</v>
      </c>
      <c r="I48" t="s">
        <v>88</v>
      </c>
      <c r="J48" t="s">
        <v>78</v>
      </c>
    </row>
    <row r="49" spans="4:11" x14ac:dyDescent="0.3">
      <c r="D49" s="3" t="s">
        <v>30</v>
      </c>
      <c r="E49">
        <v>187.8</v>
      </c>
      <c r="G49" s="3" t="s">
        <v>30</v>
      </c>
      <c r="H49">
        <v>184.9</v>
      </c>
      <c r="I49">
        <v>173.8</v>
      </c>
      <c r="J49">
        <v>199.9</v>
      </c>
      <c r="K49">
        <f>SUM(H49:J49)/COUNT(H49:J49)</f>
        <v>186.20000000000002</v>
      </c>
    </row>
    <row r="50" spans="4:11" x14ac:dyDescent="0.3">
      <c r="D50" s="3" t="s">
        <v>34</v>
      </c>
      <c r="E50">
        <v>185.7</v>
      </c>
      <c r="G50" s="3" t="s">
        <v>34</v>
      </c>
      <c r="H50">
        <v>185.2</v>
      </c>
      <c r="I50">
        <v>171.2</v>
      </c>
      <c r="J50">
        <v>201</v>
      </c>
      <c r="K50">
        <f t="shared" ref="K50:K51" si="7">SUM(H50:J50)/COUNT(H50:J50)</f>
        <v>185.79999999999998</v>
      </c>
    </row>
    <row r="51" spans="4:11" x14ac:dyDescent="0.3">
      <c r="D51" s="3" t="s">
        <v>33</v>
      </c>
      <c r="E51">
        <v>182.2</v>
      </c>
      <c r="G51" s="3" t="s">
        <v>33</v>
      </c>
      <c r="H51">
        <v>185.6</v>
      </c>
      <c r="I51">
        <v>169.2</v>
      </c>
      <c r="J51">
        <v>204.2</v>
      </c>
      <c r="K51">
        <f t="shared" si="7"/>
        <v>186.33333333333334</v>
      </c>
    </row>
    <row r="52" spans="4:11" x14ac:dyDescent="0.3">
      <c r="D52" s="3" t="s">
        <v>51</v>
      </c>
      <c r="E52">
        <v>555.70000000000005</v>
      </c>
      <c r="G52" s="3" t="s">
        <v>51</v>
      </c>
      <c r="H52">
        <v>555.70000000000005</v>
      </c>
      <c r="I52">
        <v>514.20000000000005</v>
      </c>
      <c r="J52">
        <v>605.09999999999991</v>
      </c>
    </row>
    <row r="55" spans="4:11" x14ac:dyDescent="0.3">
      <c r="G55" s="52" t="s">
        <v>24</v>
      </c>
      <c r="H55" s="52"/>
    </row>
    <row r="56" spans="4:11" x14ac:dyDescent="0.3">
      <c r="D56" s="60" t="s">
        <v>26</v>
      </c>
      <c r="E56" s="60"/>
      <c r="G56" s="2" t="s">
        <v>2</v>
      </c>
      <c r="H56" t="s">
        <v>38</v>
      </c>
    </row>
    <row r="57" spans="4:11" x14ac:dyDescent="0.3">
      <c r="D57" s="2" t="s">
        <v>2</v>
      </c>
      <c r="E57" t="s">
        <v>38</v>
      </c>
      <c r="G57" s="2" t="s">
        <v>1</v>
      </c>
      <c r="H57" s="3">
        <v>2023</v>
      </c>
    </row>
    <row r="58" spans="4:11" x14ac:dyDescent="0.3">
      <c r="D58" s="2" t="s">
        <v>1</v>
      </c>
      <c r="E58" s="3">
        <v>2023</v>
      </c>
    </row>
    <row r="59" spans="4:11" x14ac:dyDescent="0.3">
      <c r="G59" s="2" t="s">
        <v>50</v>
      </c>
      <c r="H59" t="s">
        <v>89</v>
      </c>
    </row>
    <row r="60" spans="4:11" x14ac:dyDescent="0.3">
      <c r="D60" s="2" t="s">
        <v>50</v>
      </c>
      <c r="E60" t="s">
        <v>86</v>
      </c>
      <c r="G60" s="3" t="s">
        <v>30</v>
      </c>
      <c r="H60">
        <v>169.7</v>
      </c>
    </row>
    <row r="61" spans="4:11" x14ac:dyDescent="0.3">
      <c r="D61" s="3" t="s">
        <v>30</v>
      </c>
      <c r="E61">
        <v>180.3</v>
      </c>
      <c r="G61" s="3" t="s">
        <v>34</v>
      </c>
      <c r="H61">
        <v>164.8</v>
      </c>
    </row>
    <row r="62" spans="4:11" x14ac:dyDescent="0.3">
      <c r="D62" s="3" t="s">
        <v>34</v>
      </c>
      <c r="E62">
        <v>177.1</v>
      </c>
      <c r="G62" s="3" t="s">
        <v>33</v>
      </c>
      <c r="H62">
        <v>160.4</v>
      </c>
    </row>
    <row r="63" spans="4:11" x14ac:dyDescent="0.3">
      <c r="D63" s="3" t="s">
        <v>33</v>
      </c>
      <c r="E63">
        <v>174.8</v>
      </c>
      <c r="G63" s="3" t="s">
        <v>51</v>
      </c>
      <c r="H63">
        <v>494.9</v>
      </c>
    </row>
    <row r="64" spans="4:11" x14ac:dyDescent="0.3">
      <c r="D64" s="3" t="s">
        <v>51</v>
      </c>
      <c r="E64">
        <v>532.20000000000005</v>
      </c>
    </row>
  </sheetData>
  <mergeCells count="10">
    <mergeCell ref="L39:L41"/>
    <mergeCell ref="D44:E44"/>
    <mergeCell ref="D56:E56"/>
    <mergeCell ref="G55:H55"/>
    <mergeCell ref="L17:L29"/>
    <mergeCell ref="L30:L32"/>
    <mergeCell ref="L33:L35"/>
    <mergeCell ref="K36:L36"/>
    <mergeCell ref="K37:L37"/>
    <mergeCell ref="K38:L38"/>
  </mergeCells>
  <conditionalFormatting sqref="R33:R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:S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:T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2C18-1981-4FAF-B2E6-40357CC5E5AC}">
  <dimension ref="B4:O23"/>
  <sheetViews>
    <sheetView zoomScale="74" workbookViewId="0">
      <selection activeCell="B18" sqref="B18"/>
    </sheetView>
  </sheetViews>
  <sheetFormatPr defaultRowHeight="14.4" x14ac:dyDescent="0.3"/>
  <cols>
    <col min="2" max="2" width="22.33203125" bestFit="1" customWidth="1"/>
    <col min="3" max="3" width="15.5546875" bestFit="1" customWidth="1"/>
    <col min="4" max="15" width="12.6640625" bestFit="1" customWidth="1"/>
    <col min="16" max="16" width="10.77734375" bestFit="1" customWidth="1"/>
    <col min="17" max="18" width="12" bestFit="1" customWidth="1"/>
    <col min="19" max="19" width="7" bestFit="1" customWidth="1"/>
    <col min="20" max="21" width="12" bestFit="1" customWidth="1"/>
    <col min="22" max="22" width="7" bestFit="1" customWidth="1"/>
    <col min="23" max="24" width="12" bestFit="1" customWidth="1"/>
    <col min="25" max="25" width="6" bestFit="1" customWidth="1"/>
    <col min="26" max="40" width="12" bestFit="1" customWidth="1"/>
    <col min="41" max="41" width="6" bestFit="1" customWidth="1"/>
    <col min="42" max="42" width="7" bestFit="1" customWidth="1"/>
    <col min="43" max="48" width="12" bestFit="1" customWidth="1"/>
    <col min="49" max="49" width="6" bestFit="1" customWidth="1"/>
    <col min="50" max="51" width="12" bestFit="1" customWidth="1"/>
    <col min="52" max="52" width="6" bestFit="1" customWidth="1"/>
    <col min="53" max="56" width="12" bestFit="1" customWidth="1"/>
    <col min="57" max="58" width="6" bestFit="1" customWidth="1"/>
    <col min="59" max="60" width="12" bestFit="1" customWidth="1"/>
    <col min="61" max="61" width="6" bestFit="1" customWidth="1"/>
    <col min="62" max="63" width="12" bestFit="1" customWidth="1"/>
    <col min="64" max="64" width="6" bestFit="1" customWidth="1"/>
    <col min="65" max="66" width="12" bestFit="1" customWidth="1"/>
    <col min="67" max="67" width="6" bestFit="1" customWidth="1"/>
    <col min="68" max="71" width="12" bestFit="1" customWidth="1"/>
    <col min="72" max="72" width="6" bestFit="1" customWidth="1"/>
    <col min="73" max="75" width="12" bestFit="1" customWidth="1"/>
    <col min="76" max="76" width="6" bestFit="1" customWidth="1"/>
    <col min="77" max="88" width="12" bestFit="1" customWidth="1"/>
    <col min="89" max="89" width="6" bestFit="1" customWidth="1"/>
    <col min="90" max="93" width="12" bestFit="1" customWidth="1"/>
    <col min="94" max="94" width="7" bestFit="1" customWidth="1"/>
    <col min="95" max="99" width="12" bestFit="1" customWidth="1"/>
    <col min="100" max="101" width="7" bestFit="1" customWidth="1"/>
    <col min="102" max="110" width="12" bestFit="1" customWidth="1"/>
    <col min="111" max="111" width="6" bestFit="1" customWidth="1"/>
    <col min="112" max="112" width="12" bestFit="1" customWidth="1"/>
    <col min="113" max="113" width="7" bestFit="1" customWidth="1"/>
    <col min="114" max="133" width="12" bestFit="1" customWidth="1"/>
    <col min="134" max="134" width="6" bestFit="1" customWidth="1"/>
    <col min="135" max="135" width="12" bestFit="1" customWidth="1"/>
    <col min="136" max="136" width="7" bestFit="1" customWidth="1"/>
    <col min="137" max="137" width="12" bestFit="1" customWidth="1"/>
    <col min="138" max="138" width="6" bestFit="1" customWidth="1"/>
    <col min="139" max="143" width="12" bestFit="1" customWidth="1"/>
    <col min="144" max="144" width="7" bestFit="1" customWidth="1"/>
    <col min="145" max="146" width="12" bestFit="1" customWidth="1"/>
    <col min="147" max="147" width="6" bestFit="1" customWidth="1"/>
    <col min="148" max="152" width="12" bestFit="1" customWidth="1"/>
    <col min="153" max="153" width="7" bestFit="1" customWidth="1"/>
    <col min="154" max="163" width="12" bestFit="1" customWidth="1"/>
    <col min="164" max="164" width="6" bestFit="1" customWidth="1"/>
    <col min="165" max="168" width="12" bestFit="1" customWidth="1"/>
    <col min="169" max="169" width="6" bestFit="1" customWidth="1"/>
    <col min="170" max="170" width="7" bestFit="1" customWidth="1"/>
    <col min="171" max="182" width="12" bestFit="1" customWidth="1"/>
    <col min="183" max="183" width="6" bestFit="1" customWidth="1"/>
    <col min="184" max="199" width="12" bestFit="1" customWidth="1"/>
    <col min="200" max="200" width="6" bestFit="1" customWidth="1"/>
    <col min="201" max="202" width="12" bestFit="1" customWidth="1"/>
    <col min="203" max="203" width="7" bestFit="1" customWidth="1"/>
    <col min="204" max="205" width="6" bestFit="1" customWidth="1"/>
    <col min="206" max="213" width="12" bestFit="1" customWidth="1"/>
    <col min="214" max="214" width="6" bestFit="1" customWidth="1"/>
    <col min="215" max="218" width="12" bestFit="1" customWidth="1"/>
    <col min="219" max="219" width="7" bestFit="1" customWidth="1"/>
    <col min="220" max="229" width="12" bestFit="1" customWidth="1"/>
    <col min="230" max="230" width="7" bestFit="1" customWidth="1"/>
    <col min="231" max="246" width="12" bestFit="1" customWidth="1"/>
    <col min="247" max="247" width="6" bestFit="1" customWidth="1"/>
    <col min="248" max="259" width="12" bestFit="1" customWidth="1"/>
    <col min="260" max="260" width="7" bestFit="1" customWidth="1"/>
    <col min="261" max="263" width="12" bestFit="1" customWidth="1"/>
    <col min="264" max="264" width="7" bestFit="1" customWidth="1"/>
    <col min="265" max="274" width="12" bestFit="1" customWidth="1"/>
    <col min="275" max="275" width="6" bestFit="1" customWidth="1"/>
    <col min="276" max="283" width="12" bestFit="1" customWidth="1"/>
    <col min="284" max="284" width="7" bestFit="1" customWidth="1"/>
    <col min="285" max="285" width="12" bestFit="1" customWidth="1"/>
    <col min="286" max="286" width="7" bestFit="1" customWidth="1"/>
    <col min="287" max="290" width="12" bestFit="1" customWidth="1"/>
    <col min="291" max="291" width="6" bestFit="1" customWidth="1"/>
    <col min="292" max="292" width="12" bestFit="1" customWidth="1"/>
    <col min="293" max="293" width="6" bestFit="1" customWidth="1"/>
    <col min="294" max="295" width="12" bestFit="1" customWidth="1"/>
    <col min="296" max="296" width="7" bestFit="1" customWidth="1"/>
    <col min="297" max="301" width="12" bestFit="1" customWidth="1"/>
    <col min="302" max="302" width="6" bestFit="1" customWidth="1"/>
    <col min="303" max="304" width="12" bestFit="1" customWidth="1"/>
    <col min="305" max="305" width="7" bestFit="1" customWidth="1"/>
    <col min="306" max="308" width="12" bestFit="1" customWidth="1"/>
    <col min="309" max="309" width="6" bestFit="1" customWidth="1"/>
    <col min="310" max="313" width="12" bestFit="1" customWidth="1"/>
    <col min="314" max="314" width="7" bestFit="1" customWidth="1"/>
    <col min="315" max="337" width="12" bestFit="1" customWidth="1"/>
    <col min="338" max="338" width="7" bestFit="1" customWidth="1"/>
    <col min="339" max="339" width="12" bestFit="1" customWidth="1"/>
    <col min="340" max="340" width="6" bestFit="1" customWidth="1"/>
    <col min="341" max="344" width="12" bestFit="1" customWidth="1"/>
    <col min="345" max="345" width="6" bestFit="1" customWidth="1"/>
    <col min="346" max="348" width="12" bestFit="1" customWidth="1"/>
    <col min="349" max="349" width="7" bestFit="1" customWidth="1"/>
    <col min="350" max="350" width="12" bestFit="1" customWidth="1"/>
    <col min="351" max="351" width="6" bestFit="1" customWidth="1"/>
    <col min="352" max="363" width="12" bestFit="1" customWidth="1"/>
    <col min="364" max="364" width="7" bestFit="1" customWidth="1"/>
    <col min="365" max="365" width="12" bestFit="1" customWidth="1"/>
  </cols>
  <sheetData>
    <row r="4" spans="2:15" x14ac:dyDescent="0.3">
      <c r="B4" s="2" t="s">
        <v>101</v>
      </c>
      <c r="C4" s="2" t="s">
        <v>102</v>
      </c>
    </row>
    <row r="5" spans="2:15" x14ac:dyDescent="0.3">
      <c r="B5" s="2" t="s">
        <v>50</v>
      </c>
      <c r="C5" t="s">
        <v>31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45</v>
      </c>
      <c r="N5" t="s">
        <v>46</v>
      </c>
      <c r="O5" t="s">
        <v>51</v>
      </c>
    </row>
    <row r="6" spans="2:15" x14ac:dyDescent="0.3">
      <c r="B6" s="3">
        <v>2017</v>
      </c>
      <c r="C6" s="11">
        <v>130.16666666666666</v>
      </c>
      <c r="D6" s="11">
        <v>130.46666666666667</v>
      </c>
      <c r="E6" s="11">
        <v>130.79999999999998</v>
      </c>
      <c r="F6" s="11">
        <v>131.03333333333333</v>
      </c>
      <c r="G6" s="11">
        <v>131.33333333333334</v>
      </c>
      <c r="H6" s="11">
        <v>131.93333333333334</v>
      </c>
      <c r="I6" s="11">
        <v>134.06666666666666</v>
      </c>
      <c r="J6" s="11">
        <v>135.29999999999998</v>
      </c>
      <c r="K6" s="11">
        <v>135.06666666666666</v>
      </c>
      <c r="L6" s="11">
        <v>135.96666666666667</v>
      </c>
      <c r="M6" s="11">
        <v>137.46666666666667</v>
      </c>
      <c r="N6" s="11">
        <v>137.03333333333333</v>
      </c>
      <c r="O6" s="11">
        <v>133.38611111111112</v>
      </c>
    </row>
    <row r="7" spans="2:15" x14ac:dyDescent="0.3">
      <c r="B7" s="3">
        <v>2018</v>
      </c>
      <c r="C7" s="11">
        <v>136.76666666666665</v>
      </c>
      <c r="D7" s="11">
        <v>136.29999999999998</v>
      </c>
      <c r="E7" s="11">
        <v>136.4</v>
      </c>
      <c r="F7" s="11">
        <v>137</v>
      </c>
      <c r="G7" s="11">
        <v>137.66666666666669</v>
      </c>
      <c r="H7" s="11">
        <v>138.4</v>
      </c>
      <c r="I7" s="11">
        <v>139.70000000000002</v>
      </c>
      <c r="J7" s="11">
        <v>140.29999999999998</v>
      </c>
      <c r="K7" s="11">
        <v>140.13333333333333</v>
      </c>
      <c r="L7" s="11">
        <v>140.63333333333335</v>
      </c>
      <c r="M7" s="11">
        <v>140.73333333333332</v>
      </c>
      <c r="N7" s="11">
        <v>140</v>
      </c>
      <c r="O7" s="11">
        <v>138.66944444444442</v>
      </c>
    </row>
    <row r="8" spans="2:15" x14ac:dyDescent="0.3">
      <c r="B8" s="3">
        <v>2019</v>
      </c>
      <c r="C8" s="11">
        <v>139.53333333333333</v>
      </c>
      <c r="D8" s="11">
        <v>139.83333333333334</v>
      </c>
      <c r="E8" s="11">
        <v>140.36666666666667</v>
      </c>
      <c r="F8" s="11"/>
      <c r="G8" s="11">
        <v>141.96666666666667</v>
      </c>
      <c r="H8" s="11">
        <v>142.86666666666667</v>
      </c>
      <c r="I8" s="11">
        <v>144.13333333333333</v>
      </c>
      <c r="J8" s="11">
        <v>144.96666666666667</v>
      </c>
      <c r="K8" s="11">
        <v>145.73333333333332</v>
      </c>
      <c r="L8" s="11">
        <v>147.16666666666666</v>
      </c>
      <c r="M8" s="11">
        <v>148.5</v>
      </c>
      <c r="N8" s="11">
        <v>150.33333333333334</v>
      </c>
      <c r="O8" s="11">
        <v>144.1272727272727</v>
      </c>
    </row>
    <row r="9" spans="2:15" x14ac:dyDescent="0.3">
      <c r="B9" s="3">
        <v>2020</v>
      </c>
      <c r="C9" s="11">
        <v>150.1</v>
      </c>
      <c r="D9" s="11">
        <v>149.06666666666663</v>
      </c>
      <c r="E9" s="11">
        <v>148.56666666666666</v>
      </c>
      <c r="F9" s="11">
        <v>150.16666666666666</v>
      </c>
      <c r="G9" s="11"/>
      <c r="H9" s="11">
        <v>151.76666666666668</v>
      </c>
      <c r="I9" s="11">
        <v>151.76666666666668</v>
      </c>
      <c r="J9" s="11">
        <v>153.83333333333334</v>
      </c>
      <c r="K9" s="11">
        <v>154.70000000000002</v>
      </c>
      <c r="L9" s="11">
        <v>156.36666666666667</v>
      </c>
      <c r="M9" s="11">
        <v>158.30000000000001</v>
      </c>
      <c r="N9" s="11">
        <v>158.83333333333334</v>
      </c>
      <c r="O9" s="11">
        <v>153.0424242424242</v>
      </c>
    </row>
    <row r="10" spans="2:15" x14ac:dyDescent="0.3">
      <c r="B10" s="3">
        <v>2021</v>
      </c>
      <c r="C10" s="11">
        <v>157.26666666666668</v>
      </c>
      <c r="D10" s="11">
        <v>156.6</v>
      </c>
      <c r="E10" s="11">
        <v>156.80000000000001</v>
      </c>
      <c r="F10" s="11">
        <v>157.79999999999998</v>
      </c>
      <c r="G10" s="11">
        <v>160.33333333333334</v>
      </c>
      <c r="H10" s="11">
        <v>161.26666666666668</v>
      </c>
      <c r="I10" s="11">
        <v>162.5</v>
      </c>
      <c r="J10" s="11">
        <v>163.03333333333333</v>
      </c>
      <c r="K10" s="11">
        <v>163.16666666666666</v>
      </c>
      <c r="L10" s="11">
        <v>165.46666666666667</v>
      </c>
      <c r="M10" s="11">
        <v>166.63333333333333</v>
      </c>
      <c r="N10" s="11">
        <v>166.13333333333333</v>
      </c>
      <c r="O10" s="11">
        <v>161.41666666666669</v>
      </c>
    </row>
    <row r="11" spans="2:15" x14ac:dyDescent="0.3">
      <c r="B11" s="3">
        <v>2022</v>
      </c>
      <c r="C11" s="11">
        <v>165.70000000000002</v>
      </c>
      <c r="D11" s="11">
        <v>166.1</v>
      </c>
      <c r="E11" s="11">
        <v>167.63333333333333</v>
      </c>
      <c r="F11" s="11">
        <v>170.03333333333333</v>
      </c>
      <c r="G11" s="11">
        <v>171.66666666666666</v>
      </c>
      <c r="H11" s="11">
        <v>172.53333333333333</v>
      </c>
      <c r="I11" s="11">
        <v>173.33333333333334</v>
      </c>
      <c r="J11" s="11">
        <v>174.23333333333335</v>
      </c>
      <c r="K11" s="11">
        <v>175.26666666666665</v>
      </c>
      <c r="L11" s="11">
        <v>176.63333333333333</v>
      </c>
      <c r="M11" s="11">
        <v>176.13333333333335</v>
      </c>
      <c r="N11" s="11">
        <v>175.63333333333333</v>
      </c>
      <c r="O11" s="11">
        <v>172.07500000000005</v>
      </c>
    </row>
    <row r="12" spans="2:15" x14ac:dyDescent="0.3">
      <c r="B12" s="3">
        <v>2023</v>
      </c>
      <c r="C12" s="11">
        <v>176.4</v>
      </c>
      <c r="D12" s="11">
        <v>177.16666666666666</v>
      </c>
      <c r="E12" s="11">
        <v>177.16666666666666</v>
      </c>
      <c r="F12" s="11">
        <v>178.1</v>
      </c>
      <c r="G12" s="11">
        <v>179.0333333333333</v>
      </c>
      <c r="H12" s="11"/>
      <c r="I12" s="11"/>
      <c r="J12" s="11"/>
      <c r="K12" s="11"/>
      <c r="L12" s="11"/>
      <c r="M12" s="11"/>
      <c r="N12" s="11"/>
      <c r="O12" s="11">
        <v>177.57333333333332</v>
      </c>
    </row>
    <row r="13" spans="2:15" x14ac:dyDescent="0.3">
      <c r="B13" s="3" t="s">
        <v>51</v>
      </c>
      <c r="C13">
        <v>150.84761904761905</v>
      </c>
      <c r="D13">
        <v>150.79047619047617</v>
      </c>
      <c r="E13">
        <v>151.10476190476189</v>
      </c>
      <c r="F13">
        <v>154.02222222222224</v>
      </c>
      <c r="G13">
        <v>153.66666666666666</v>
      </c>
      <c r="H13">
        <v>149.79444444444442</v>
      </c>
      <c r="I13">
        <v>150.91666666666669</v>
      </c>
      <c r="J13">
        <v>151.94444444444446</v>
      </c>
      <c r="K13">
        <v>152.34444444444446</v>
      </c>
      <c r="L13">
        <v>153.70555555555558</v>
      </c>
      <c r="M13">
        <v>154.62777777777779</v>
      </c>
      <c r="N13">
        <v>154.6611111111111</v>
      </c>
      <c r="O13">
        <v>152.31066666666666</v>
      </c>
    </row>
    <row r="18" spans="2:6" x14ac:dyDescent="0.3">
      <c r="B18" s="3">
        <v>2017</v>
      </c>
      <c r="C18" s="27">
        <f t="shared" ref="C18:C23" si="0">(N6-C6)/C6</f>
        <v>5.2752880921895069E-2</v>
      </c>
      <c r="E18">
        <v>2017</v>
      </c>
      <c r="F18" s="27">
        <v>5.295471987720627E-2</v>
      </c>
    </row>
    <row r="19" spans="2:6" x14ac:dyDescent="0.3">
      <c r="B19" s="3">
        <v>2018</v>
      </c>
      <c r="C19" s="27">
        <f t="shared" si="0"/>
        <v>2.3641238118450029E-2</v>
      </c>
      <c r="E19">
        <v>2018</v>
      </c>
      <c r="F19" s="27">
        <v>2.3374726077428697E-2</v>
      </c>
    </row>
    <row r="20" spans="2:6" x14ac:dyDescent="0.3">
      <c r="B20" s="3">
        <v>2019</v>
      </c>
      <c r="C20" s="27">
        <f t="shared" si="0"/>
        <v>7.7400860009555747E-2</v>
      </c>
      <c r="E20">
        <v>2019</v>
      </c>
      <c r="F20" s="27">
        <v>7.7363896848137617E-2</v>
      </c>
    </row>
    <row r="21" spans="2:6" x14ac:dyDescent="0.3">
      <c r="B21" s="3">
        <v>2020</v>
      </c>
      <c r="C21" s="27">
        <f t="shared" si="0"/>
        <v>5.8183433266711188E-2</v>
      </c>
      <c r="E21">
        <v>2020</v>
      </c>
      <c r="F21" s="27">
        <v>5.7922769640479481E-2</v>
      </c>
    </row>
    <row r="22" spans="2:6" x14ac:dyDescent="0.3">
      <c r="B22" s="3">
        <v>2021</v>
      </c>
      <c r="C22" s="27">
        <f t="shared" si="0"/>
        <v>5.6379821958456838E-2</v>
      </c>
      <c r="E22">
        <v>2021</v>
      </c>
      <c r="F22" s="27">
        <v>5.657978385251098E-2</v>
      </c>
    </row>
    <row r="23" spans="2:6" x14ac:dyDescent="0.3">
      <c r="B23" s="3">
        <v>2022</v>
      </c>
      <c r="C23" s="27">
        <f t="shared" si="0"/>
        <v>5.994769664051483E-2</v>
      </c>
      <c r="E23">
        <v>2022</v>
      </c>
      <c r="F23" s="27">
        <v>6.0350030175015092E-2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7BA2-9CF1-4BA1-A852-02C0BDBA348C}">
  <dimension ref="B15:Z67"/>
  <sheetViews>
    <sheetView topLeftCell="A10" zoomScale="63" workbookViewId="0">
      <selection activeCell="B39" sqref="B39"/>
    </sheetView>
  </sheetViews>
  <sheetFormatPr defaultColWidth="14.88671875" defaultRowHeight="14.4" x14ac:dyDescent="0.3"/>
  <cols>
    <col min="2" max="2" width="13.44140625" bestFit="1" customWidth="1"/>
    <col min="3" max="3" width="22" bestFit="1" customWidth="1"/>
    <col min="4" max="4" width="29.77734375" bestFit="1" customWidth="1"/>
    <col min="5" max="5" width="23.21875" bestFit="1" customWidth="1"/>
    <col min="6" max="6" width="27" bestFit="1" customWidth="1"/>
    <col min="7" max="7" width="16" bestFit="1" customWidth="1"/>
    <col min="8" max="8" width="13.88671875" bestFit="1" customWidth="1"/>
    <col min="9" max="9" width="21" bestFit="1" customWidth="1"/>
    <col min="10" max="10" width="28.88671875" bestFit="1" customWidth="1"/>
    <col min="11" max="11" width="32.77734375" bestFit="1" customWidth="1"/>
    <col min="12" max="12" width="13.109375" bestFit="1" customWidth="1"/>
    <col min="13" max="13" width="29" bestFit="1" customWidth="1"/>
    <col min="14" max="14" width="9.5546875" bestFit="1" customWidth="1"/>
    <col min="15" max="15" width="9" customWidth="1"/>
    <col min="16" max="16" width="12.33203125" customWidth="1"/>
    <col min="17" max="17" width="14.21875" customWidth="1"/>
    <col min="18" max="18" width="14.33203125" customWidth="1"/>
    <col min="19" max="19" width="14.21875" customWidth="1"/>
    <col min="20" max="20" width="11.77734375" customWidth="1"/>
    <col min="21" max="21" width="11.6640625" customWidth="1"/>
    <col min="22" max="22" width="7" bestFit="1" customWidth="1"/>
    <col min="23" max="23" width="10.33203125" bestFit="1" customWidth="1"/>
    <col min="24" max="24" width="13.6640625" customWidth="1"/>
    <col min="25" max="25" width="14" customWidth="1"/>
    <col min="26" max="26" width="9.6640625" bestFit="1" customWidth="1"/>
    <col min="27" max="27" width="19.21875" bestFit="1" customWidth="1"/>
    <col min="28" max="28" width="8.44140625" bestFit="1" customWidth="1"/>
    <col min="29" max="31" width="7" bestFit="1" customWidth="1"/>
    <col min="32" max="32" width="4.88671875" bestFit="1" customWidth="1"/>
    <col min="33" max="33" width="6" bestFit="1" customWidth="1"/>
    <col min="34" max="34" width="6.88671875" bestFit="1" customWidth="1"/>
    <col min="35" max="35" width="10.21875" bestFit="1" customWidth="1"/>
    <col min="36" max="36" width="7.77734375" bestFit="1" customWidth="1"/>
    <col min="37" max="37" width="9.88671875" bestFit="1" customWidth="1"/>
    <col min="38" max="38" width="9.5546875" bestFit="1" customWidth="1"/>
    <col min="39" max="39" width="23" bestFit="1" customWidth="1"/>
    <col min="40" max="40" width="8.44140625" bestFit="1" customWidth="1"/>
    <col min="41" max="41" width="6.44140625" bestFit="1" customWidth="1"/>
    <col min="42" max="43" width="7" bestFit="1" customWidth="1"/>
    <col min="44" max="44" width="6" bestFit="1" customWidth="1"/>
    <col min="45" max="45" width="4.21875" bestFit="1" customWidth="1"/>
    <col min="46" max="46" width="6.88671875" bestFit="1" customWidth="1"/>
    <col min="47" max="47" width="10.21875" bestFit="1" customWidth="1"/>
    <col min="48" max="48" width="7.77734375" bestFit="1" customWidth="1"/>
    <col min="49" max="49" width="9.88671875" bestFit="1" customWidth="1"/>
    <col min="50" max="50" width="9.5546875" bestFit="1" customWidth="1"/>
    <col min="51" max="51" width="12" bestFit="1" customWidth="1"/>
    <col min="52" max="52" width="8.44140625" bestFit="1" customWidth="1"/>
    <col min="53" max="53" width="6.44140625" bestFit="1" customWidth="1"/>
    <col min="54" max="55" width="7" bestFit="1" customWidth="1"/>
    <col min="56" max="57" width="6" bestFit="1" customWidth="1"/>
    <col min="58" max="58" width="6.88671875" bestFit="1" customWidth="1"/>
    <col min="59" max="59" width="10.21875" bestFit="1" customWidth="1"/>
    <col min="60" max="60" width="7.77734375" bestFit="1" customWidth="1"/>
    <col min="61" max="61" width="9.88671875" bestFit="1" customWidth="1"/>
    <col min="62" max="62" width="9.5546875" bestFit="1" customWidth="1"/>
    <col min="63" max="63" width="10.44140625" bestFit="1" customWidth="1"/>
    <col min="64" max="64" width="8.44140625" bestFit="1" customWidth="1"/>
    <col min="65" max="67" width="7" bestFit="1" customWidth="1"/>
    <col min="68" max="69" width="6" bestFit="1" customWidth="1"/>
    <col min="70" max="70" width="6.88671875" bestFit="1" customWidth="1"/>
    <col min="71" max="71" width="10.21875" bestFit="1" customWidth="1"/>
    <col min="72" max="72" width="7.77734375" bestFit="1" customWidth="1"/>
    <col min="73" max="73" width="9.88671875" bestFit="1" customWidth="1"/>
    <col min="74" max="74" width="9.5546875" bestFit="1" customWidth="1"/>
    <col min="75" max="75" width="16.77734375" bestFit="1" customWidth="1"/>
    <col min="76" max="76" width="8.44140625" bestFit="1" customWidth="1"/>
    <col min="77" max="77" width="6.44140625" bestFit="1" customWidth="1"/>
    <col min="78" max="78" width="6" bestFit="1" customWidth="1"/>
    <col min="79" max="79" width="7" bestFit="1" customWidth="1"/>
    <col min="80" max="81" width="6" bestFit="1" customWidth="1"/>
    <col min="82" max="82" width="6.88671875" bestFit="1" customWidth="1"/>
    <col min="83" max="83" width="10.21875" bestFit="1" customWidth="1"/>
    <col min="84" max="84" width="7.77734375" bestFit="1" customWidth="1"/>
    <col min="85" max="85" width="9.88671875" bestFit="1" customWidth="1"/>
    <col min="86" max="86" width="9.5546875" bestFit="1" customWidth="1"/>
    <col min="87" max="87" width="24.5546875" bestFit="1" customWidth="1"/>
    <col min="88" max="88" width="8.44140625" bestFit="1" customWidth="1"/>
    <col min="89" max="91" width="7" bestFit="1" customWidth="1"/>
    <col min="92" max="93" width="6" bestFit="1" customWidth="1"/>
    <col min="94" max="94" width="6.88671875" bestFit="1" customWidth="1"/>
    <col min="95" max="95" width="10.21875" bestFit="1" customWidth="1"/>
    <col min="96" max="96" width="7.77734375" bestFit="1" customWidth="1"/>
    <col min="97" max="97" width="9.88671875" bestFit="1" customWidth="1"/>
    <col min="98" max="98" width="9.5546875" bestFit="1" customWidth="1"/>
    <col min="99" max="99" width="28.6640625" bestFit="1" customWidth="1"/>
    <col min="100" max="100" width="8.44140625" bestFit="1" customWidth="1"/>
    <col min="101" max="101" width="6.44140625" bestFit="1" customWidth="1"/>
    <col min="102" max="105" width="6" bestFit="1" customWidth="1"/>
    <col min="106" max="106" width="6.88671875" bestFit="1" customWidth="1"/>
    <col min="107" max="107" width="10.21875" bestFit="1" customWidth="1"/>
    <col min="108" max="108" width="7.77734375" bestFit="1" customWidth="1"/>
    <col min="109" max="109" width="9.88671875" bestFit="1" customWidth="1"/>
    <col min="110" max="110" width="9.5546875" bestFit="1" customWidth="1"/>
    <col min="111" max="111" width="12.6640625" bestFit="1" customWidth="1"/>
    <col min="112" max="112" width="8.44140625" bestFit="1" customWidth="1"/>
    <col min="113" max="115" width="7" bestFit="1" customWidth="1"/>
    <col min="116" max="117" width="6" bestFit="1" customWidth="1"/>
    <col min="118" max="118" width="6.88671875" bestFit="1" customWidth="1"/>
    <col min="119" max="119" width="10.21875" bestFit="1" customWidth="1"/>
    <col min="120" max="120" width="7.77734375" bestFit="1" customWidth="1"/>
    <col min="121" max="121" width="9.88671875" bestFit="1" customWidth="1"/>
    <col min="122" max="122" width="9.5546875" bestFit="1" customWidth="1"/>
    <col min="123" max="123" width="24.6640625" bestFit="1" customWidth="1"/>
    <col min="124" max="124" width="8.44140625" bestFit="1" customWidth="1"/>
    <col min="125" max="127" width="7" bestFit="1" customWidth="1"/>
    <col min="128" max="129" width="6" bestFit="1" customWidth="1"/>
    <col min="130" max="130" width="6.88671875" bestFit="1" customWidth="1"/>
    <col min="131" max="131" width="10.21875" bestFit="1" customWidth="1"/>
    <col min="132" max="132" width="7.77734375" bestFit="1" customWidth="1"/>
    <col min="133" max="133" width="9.88671875" bestFit="1" customWidth="1"/>
    <col min="134" max="134" width="9.5546875" bestFit="1" customWidth="1"/>
    <col min="135" max="135" width="22.6640625" bestFit="1" customWidth="1"/>
    <col min="136" max="136" width="30.21875" bestFit="1" customWidth="1"/>
    <col min="137" max="137" width="24" bestFit="1" customWidth="1"/>
    <col min="138" max="138" width="27.77734375" bestFit="1" customWidth="1"/>
    <col min="139" max="139" width="16.77734375" bestFit="1" customWidth="1"/>
    <col min="140" max="140" width="15.21875" bestFit="1" customWidth="1"/>
    <col min="141" max="141" width="21.6640625" bestFit="1" customWidth="1"/>
    <col min="142" max="142" width="29.33203125" bestFit="1" customWidth="1"/>
    <col min="143" max="143" width="33.44140625" bestFit="1" customWidth="1"/>
    <col min="144" max="144" width="17.5546875" bestFit="1" customWidth="1"/>
    <col min="145" max="145" width="29.5546875" bestFit="1" customWidth="1"/>
  </cols>
  <sheetData>
    <row r="15" spans="2:3" x14ac:dyDescent="0.3">
      <c r="B15" s="2" t="s">
        <v>1</v>
      </c>
      <c r="C15" t="s">
        <v>103</v>
      </c>
    </row>
    <row r="16" spans="2:3" x14ac:dyDescent="0.3">
      <c r="B16" s="2" t="s">
        <v>0</v>
      </c>
      <c r="C16" t="s">
        <v>34</v>
      </c>
    </row>
    <row r="18" spans="2:26" x14ac:dyDescent="0.3">
      <c r="B18" s="2" t="s">
        <v>50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 t="s">
        <v>74</v>
      </c>
      <c r="M18" t="s">
        <v>131</v>
      </c>
    </row>
    <row r="19" spans="2:26" x14ac:dyDescent="0.3">
      <c r="B19" s="3" t="s">
        <v>113</v>
      </c>
      <c r="C19" s="11">
        <v>202.4</v>
      </c>
      <c r="D19" s="11">
        <v>154.1</v>
      </c>
      <c r="E19" s="11">
        <v>217</v>
      </c>
      <c r="F19" s="11">
        <v>164.9</v>
      </c>
      <c r="G19" s="11">
        <v>171</v>
      </c>
      <c r="H19" s="11">
        <v>162.4</v>
      </c>
      <c r="I19" s="11">
        <v>174.9</v>
      </c>
      <c r="J19" s="11">
        <v>164.7</v>
      </c>
      <c r="K19" s="11">
        <v>119.7</v>
      </c>
      <c r="L19" s="11">
        <v>184.9</v>
      </c>
      <c r="M19" s="11">
        <v>173.3</v>
      </c>
      <c r="N19" s="26">
        <f>SUM(C19:M19)/COUNT(C19:M19)</f>
        <v>171.75454545454548</v>
      </c>
      <c r="O19" s="12" t="s">
        <v>148</v>
      </c>
      <c r="P19" s="25" t="s">
        <v>122</v>
      </c>
      <c r="Q19" s="25" t="s">
        <v>123</v>
      </c>
      <c r="R19" s="25" t="s">
        <v>124</v>
      </c>
      <c r="S19" s="25" t="s">
        <v>125</v>
      </c>
      <c r="T19" s="25" t="s">
        <v>126</v>
      </c>
      <c r="U19" s="25" t="s">
        <v>127</v>
      </c>
      <c r="V19" s="25" t="s">
        <v>128</v>
      </c>
      <c r="W19" s="25" t="s">
        <v>129</v>
      </c>
      <c r="X19" s="25" t="s">
        <v>130</v>
      </c>
      <c r="Y19" s="25" t="s">
        <v>74</v>
      </c>
      <c r="Z19" s="25" t="s">
        <v>131</v>
      </c>
    </row>
    <row r="20" spans="2:26" x14ac:dyDescent="0.3">
      <c r="B20" s="3" t="s">
        <v>115</v>
      </c>
      <c r="C20" s="11">
        <v>200.9</v>
      </c>
      <c r="D20" s="11">
        <v>155</v>
      </c>
      <c r="E20" s="11">
        <v>219.4</v>
      </c>
      <c r="F20" s="11">
        <v>165.8</v>
      </c>
      <c r="G20" s="11">
        <v>169.7</v>
      </c>
      <c r="H20" s="11">
        <v>170.8</v>
      </c>
      <c r="I20" s="11">
        <v>182.3</v>
      </c>
      <c r="J20" s="11">
        <v>164.3</v>
      </c>
      <c r="K20" s="11">
        <v>119.9</v>
      </c>
      <c r="L20" s="11">
        <v>187.1</v>
      </c>
      <c r="M20" s="11">
        <v>174.9</v>
      </c>
      <c r="N20" s="26">
        <f>SUM(C20:M20)/COUNT(C20:M20)</f>
        <v>173.64545454545453</v>
      </c>
      <c r="O20" s="12">
        <f>(N20-N19)/N19</f>
        <v>1.1009368549197865E-2</v>
      </c>
      <c r="P20" s="27">
        <f>(C20-C19)/C19</f>
        <v>-7.411067193675889E-3</v>
      </c>
      <c r="Q20" s="27">
        <f>(D20-D19)/D19</f>
        <v>5.8403634003893947E-3</v>
      </c>
      <c r="R20" s="27">
        <f t="shared" ref="R20:T20" si="0">(E20-E19)/E19</f>
        <v>1.1059907834101408E-2</v>
      </c>
      <c r="S20" s="27">
        <f t="shared" si="0"/>
        <v>5.4578532443905741E-3</v>
      </c>
      <c r="T20" s="27">
        <f t="shared" si="0"/>
        <v>-7.6023391812866164E-3</v>
      </c>
      <c r="U20" s="27">
        <f t="shared" ref="U20:U31" si="1">(H20-H19)/H19</f>
        <v>5.1724137931034517E-2</v>
      </c>
      <c r="V20" s="27">
        <f t="shared" ref="V20:V31" si="2">(I20-I19)/I19</f>
        <v>4.230989136649517E-2</v>
      </c>
      <c r="W20" s="27">
        <f t="shared" ref="W20:Y31" si="3">(J20-J19)/J19</f>
        <v>-2.4286581663629466E-3</v>
      </c>
      <c r="X20" s="27">
        <f t="shared" si="3"/>
        <v>1.6708437761069578E-3</v>
      </c>
      <c r="Y20" s="27">
        <f t="shared" si="3"/>
        <v>1.1898323418063756E-2</v>
      </c>
      <c r="Z20" s="27">
        <f>(M20-M19)/M19</f>
        <v>9.2325447201384546E-3</v>
      </c>
    </row>
    <row r="21" spans="2:26" x14ac:dyDescent="0.3">
      <c r="B21" s="3" t="s">
        <v>116</v>
      </c>
      <c r="C21" s="11">
        <v>195.8</v>
      </c>
      <c r="D21" s="11">
        <v>156.5</v>
      </c>
      <c r="E21" s="11">
        <v>213</v>
      </c>
      <c r="F21" s="11">
        <v>166.6</v>
      </c>
      <c r="G21" s="11">
        <v>174.2</v>
      </c>
      <c r="H21" s="11">
        <v>175.2</v>
      </c>
      <c r="I21" s="11">
        <v>182.1</v>
      </c>
      <c r="J21" s="11">
        <v>164.3</v>
      </c>
      <c r="K21" s="11">
        <v>120</v>
      </c>
      <c r="L21" s="11">
        <v>190</v>
      </c>
      <c r="M21" s="11">
        <v>175</v>
      </c>
      <c r="N21" s="26">
        <f t="shared" ref="N21:N31" si="4">SUM(C21:M21)/COUNT(C21:M21)</f>
        <v>173.88181818181818</v>
      </c>
      <c r="O21" s="12">
        <f t="shared" ref="O21:O31" si="5">(N21-N20)/N20</f>
        <v>1.3611852782577545E-3</v>
      </c>
      <c r="P21" s="27">
        <f t="shared" ref="P21:P31" si="6">(C21-C20)/C20</f>
        <v>-2.5385764061722219E-2</v>
      </c>
      <c r="Q21" s="27">
        <f t="shared" ref="Q21:Q31" si="7">(D21-D20)/D20</f>
        <v>9.6774193548387101E-3</v>
      </c>
      <c r="R21" s="27">
        <f t="shared" ref="R21:R31" si="8">(E21-E20)/E20</f>
        <v>-2.9170464904284436E-2</v>
      </c>
      <c r="S21" s="27">
        <f t="shared" ref="S21:S31" si="9">(F21-F20)/F20</f>
        <v>4.8250904704462173E-3</v>
      </c>
      <c r="T21" s="27">
        <f t="shared" ref="T21:T31" si="10">(G21-G20)/G20</f>
        <v>2.6517383618149679E-2</v>
      </c>
      <c r="U21" s="27">
        <f t="shared" si="1"/>
        <v>2.5761124121779725E-2</v>
      </c>
      <c r="V21" s="27">
        <f t="shared" si="2"/>
        <v>-1.0970927043336097E-3</v>
      </c>
      <c r="W21" s="27">
        <f t="shared" si="3"/>
        <v>0</v>
      </c>
      <c r="X21" s="27">
        <f t="shared" si="3"/>
        <v>8.3402835696408937E-4</v>
      </c>
      <c r="Y21" s="27">
        <f t="shared" si="3"/>
        <v>1.5499732763228252E-2</v>
      </c>
      <c r="Z21" s="27">
        <f t="shared" ref="Z21:Z31" si="11">(M21-M20)/M20</f>
        <v>5.7175528873638828E-4</v>
      </c>
    </row>
    <row r="22" spans="2:26" x14ac:dyDescent="0.3">
      <c r="B22" s="3" t="s">
        <v>117</v>
      </c>
      <c r="C22" s="11">
        <v>192.4</v>
      </c>
      <c r="D22" s="11">
        <v>160.30000000000001</v>
      </c>
      <c r="E22" s="11">
        <v>206.5</v>
      </c>
      <c r="F22" s="11">
        <v>168.1</v>
      </c>
      <c r="G22" s="11">
        <v>172.9</v>
      </c>
      <c r="H22" s="11">
        <v>169.2</v>
      </c>
      <c r="I22" s="11">
        <v>186.7</v>
      </c>
      <c r="J22" s="11">
        <v>167.2</v>
      </c>
      <c r="K22" s="11">
        <v>120.9</v>
      </c>
      <c r="L22" s="11">
        <v>193.6</v>
      </c>
      <c r="M22" s="11">
        <v>176.3</v>
      </c>
      <c r="N22" s="26">
        <f t="shared" si="4"/>
        <v>174.00909090909093</v>
      </c>
      <c r="O22" s="12">
        <f t="shared" si="5"/>
        <v>7.3194960004197734E-4</v>
      </c>
      <c r="P22" s="27">
        <f t="shared" si="6"/>
        <v>-1.7364657814096043E-2</v>
      </c>
      <c r="Q22" s="27">
        <f t="shared" si="7"/>
        <v>2.4281150159744483E-2</v>
      </c>
      <c r="R22" s="27">
        <f t="shared" si="8"/>
        <v>-3.0516431924882629E-2</v>
      </c>
      <c r="S22" s="27">
        <f t="shared" si="9"/>
        <v>9.00360144057623E-3</v>
      </c>
      <c r="T22" s="27">
        <f t="shared" si="10"/>
        <v>-7.4626865671640818E-3</v>
      </c>
      <c r="U22" s="27">
        <f t="shared" si="1"/>
        <v>-3.4246575342465758E-2</v>
      </c>
      <c r="V22" s="27">
        <f t="shared" si="2"/>
        <v>2.5260845689181737E-2</v>
      </c>
      <c r="W22" s="27">
        <f t="shared" si="3"/>
        <v>1.7650639074862917E-2</v>
      </c>
      <c r="X22" s="27">
        <f t="shared" si="3"/>
        <v>7.5000000000000474E-3</v>
      </c>
      <c r="Y22" s="27">
        <f t="shared" si="3"/>
        <v>1.8947368421052602E-2</v>
      </c>
      <c r="Z22" s="27">
        <f t="shared" si="11"/>
        <v>7.4285714285714935E-3</v>
      </c>
    </row>
    <row r="23" spans="2:26" x14ac:dyDescent="0.3">
      <c r="B23" s="3" t="s">
        <v>118</v>
      </c>
      <c r="C23" s="11">
        <v>188.7</v>
      </c>
      <c r="D23" s="11">
        <v>163.5</v>
      </c>
      <c r="E23" s="11">
        <v>209.2</v>
      </c>
      <c r="F23" s="11">
        <v>169.7</v>
      </c>
      <c r="G23" s="11">
        <v>165.7</v>
      </c>
      <c r="H23" s="11">
        <v>169.7</v>
      </c>
      <c r="I23" s="11">
        <v>191.8</v>
      </c>
      <c r="J23" s="11">
        <v>169.1</v>
      </c>
      <c r="K23" s="11">
        <v>121.6</v>
      </c>
      <c r="L23" s="11">
        <v>197.3</v>
      </c>
      <c r="M23" s="11">
        <v>177.8</v>
      </c>
      <c r="N23" s="26">
        <f t="shared" si="4"/>
        <v>174.91818181818178</v>
      </c>
      <c r="O23" s="12">
        <f t="shared" si="5"/>
        <v>5.224387440572251E-3</v>
      </c>
      <c r="P23" s="27">
        <f t="shared" si="6"/>
        <v>-1.9230769230769319E-2</v>
      </c>
      <c r="Q23" s="27">
        <f t="shared" si="7"/>
        <v>1.9962570180910719E-2</v>
      </c>
      <c r="R23" s="27">
        <f t="shared" si="8"/>
        <v>1.3075060532687597E-2</v>
      </c>
      <c r="S23" s="27">
        <f t="shared" si="9"/>
        <v>9.5181439619273899E-3</v>
      </c>
      <c r="T23" s="27">
        <f t="shared" si="10"/>
        <v>-4.1642567958357531E-2</v>
      </c>
      <c r="U23" s="27">
        <f t="shared" si="1"/>
        <v>2.9550827423167852E-3</v>
      </c>
      <c r="V23" s="27">
        <f t="shared" si="2"/>
        <v>2.7316550615961558E-2</v>
      </c>
      <c r="W23" s="27">
        <f t="shared" si="3"/>
        <v>1.1363636363636399E-2</v>
      </c>
      <c r="X23" s="27">
        <f t="shared" si="3"/>
        <v>5.7899090157153728E-3</v>
      </c>
      <c r="Y23" s="27">
        <f t="shared" si="3"/>
        <v>1.9111570247933973E-2</v>
      </c>
      <c r="Z23" s="27">
        <f t="shared" si="11"/>
        <v>8.5082246171298923E-3</v>
      </c>
    </row>
    <row r="24" spans="2:26" x14ac:dyDescent="0.3">
      <c r="B24" s="3" t="s">
        <v>119</v>
      </c>
      <c r="C24" s="11">
        <v>186.5</v>
      </c>
      <c r="D24" s="11">
        <v>165.2</v>
      </c>
      <c r="E24" s="11">
        <v>210.9</v>
      </c>
      <c r="F24" s="11">
        <v>170.9</v>
      </c>
      <c r="G24" s="11">
        <v>163.80000000000001</v>
      </c>
      <c r="H24" s="11">
        <v>170.9</v>
      </c>
      <c r="I24" s="11">
        <v>199.7</v>
      </c>
      <c r="J24" s="11">
        <v>169.8</v>
      </c>
      <c r="K24" s="11">
        <v>121.9</v>
      </c>
      <c r="L24" s="11">
        <v>199.9</v>
      </c>
      <c r="M24" s="11">
        <v>179.6</v>
      </c>
      <c r="N24" s="26">
        <f t="shared" si="4"/>
        <v>176.28181818181818</v>
      </c>
      <c r="O24" s="12">
        <f t="shared" si="5"/>
        <v>7.795852606413611E-3</v>
      </c>
      <c r="P24" s="27">
        <f t="shared" si="6"/>
        <v>-1.1658717541070422E-2</v>
      </c>
      <c r="Q24" s="27">
        <f t="shared" si="7"/>
        <v>1.0397553516819502E-2</v>
      </c>
      <c r="R24" s="27">
        <f t="shared" si="8"/>
        <v>8.1261950286807706E-3</v>
      </c>
      <c r="S24" s="27">
        <f t="shared" si="9"/>
        <v>7.0713022981733478E-3</v>
      </c>
      <c r="T24" s="27">
        <f t="shared" si="10"/>
        <v>-1.1466505733252729E-2</v>
      </c>
      <c r="U24" s="27">
        <f t="shared" si="1"/>
        <v>7.0713022981733478E-3</v>
      </c>
      <c r="V24" s="27">
        <f t="shared" si="2"/>
        <v>4.118873826903012E-2</v>
      </c>
      <c r="W24" s="27">
        <f t="shared" si="3"/>
        <v>4.1395623891189656E-3</v>
      </c>
      <c r="X24" s="27">
        <f t="shared" si="3"/>
        <v>2.4671052631579883E-3</v>
      </c>
      <c r="Y24" s="27">
        <f t="shared" si="3"/>
        <v>1.3177901672579798E-2</v>
      </c>
      <c r="Z24" s="27">
        <f t="shared" si="11"/>
        <v>1.0123734533183255E-2</v>
      </c>
    </row>
    <row r="25" spans="2:26" x14ac:dyDescent="0.3">
      <c r="B25" s="3" t="s">
        <v>120</v>
      </c>
      <c r="C25" s="11">
        <v>188.9</v>
      </c>
      <c r="D25" s="11">
        <v>167.4</v>
      </c>
      <c r="E25" s="11">
        <v>209.4</v>
      </c>
      <c r="F25" s="11">
        <v>172.3</v>
      </c>
      <c r="G25" s="11">
        <v>160.69999999999999</v>
      </c>
      <c r="H25" s="11">
        <v>181.4</v>
      </c>
      <c r="I25" s="11">
        <v>183.1</v>
      </c>
      <c r="J25" s="11">
        <v>170.5</v>
      </c>
      <c r="K25" s="11">
        <v>122.1</v>
      </c>
      <c r="L25" s="11">
        <v>202.8</v>
      </c>
      <c r="M25" s="11">
        <v>178.3</v>
      </c>
      <c r="N25" s="26">
        <f t="shared" si="4"/>
        <v>176.08181818181816</v>
      </c>
      <c r="O25" s="12">
        <f t="shared" si="5"/>
        <v>-1.1345469547729295E-3</v>
      </c>
      <c r="P25" s="27">
        <f t="shared" si="6"/>
        <v>1.286863270777483E-2</v>
      </c>
      <c r="Q25" s="27">
        <f t="shared" si="7"/>
        <v>1.3317191283293082E-2</v>
      </c>
      <c r="R25" s="27">
        <f t="shared" si="8"/>
        <v>-7.1123755334281651E-3</v>
      </c>
      <c r="S25" s="27">
        <f t="shared" si="9"/>
        <v>8.1919251023990971E-3</v>
      </c>
      <c r="T25" s="27">
        <f t="shared" si="10"/>
        <v>-1.8925518925519063E-2</v>
      </c>
      <c r="U25" s="27">
        <f t="shared" si="1"/>
        <v>6.1439438267992974E-2</v>
      </c>
      <c r="V25" s="27">
        <f t="shared" si="2"/>
        <v>-8.3124687030545791E-2</v>
      </c>
      <c r="W25" s="27">
        <f t="shared" si="3"/>
        <v>4.1224970553591792E-3</v>
      </c>
      <c r="X25" s="27">
        <f t="shared" si="3"/>
        <v>1.640689089417462E-3</v>
      </c>
      <c r="Y25" s="27">
        <f t="shared" si="3"/>
        <v>1.4507253626813434E-2</v>
      </c>
      <c r="Z25" s="27">
        <f t="shared" si="11"/>
        <v>-7.2383073496658295E-3</v>
      </c>
    </row>
    <row r="26" spans="2:26" x14ac:dyDescent="0.3">
      <c r="B26" s="3" t="s">
        <v>121</v>
      </c>
      <c r="C26" s="11">
        <v>188.5</v>
      </c>
      <c r="D26" s="11">
        <v>169.2</v>
      </c>
      <c r="E26" s="11">
        <v>209</v>
      </c>
      <c r="F26" s="11">
        <v>173.6</v>
      </c>
      <c r="G26" s="11">
        <v>158</v>
      </c>
      <c r="H26" s="11">
        <v>190.2</v>
      </c>
      <c r="I26" s="11">
        <v>159.9</v>
      </c>
      <c r="J26" s="11">
        <v>170.8</v>
      </c>
      <c r="K26" s="11">
        <v>121.8</v>
      </c>
      <c r="L26" s="11">
        <v>205.2</v>
      </c>
      <c r="M26" s="11">
        <v>175.9</v>
      </c>
      <c r="N26" s="26">
        <f t="shared" si="4"/>
        <v>174.73636363636365</v>
      </c>
      <c r="O26" s="12">
        <f t="shared" si="5"/>
        <v>-7.6410759460992681E-3</v>
      </c>
      <c r="P26" s="27">
        <f t="shared" si="6"/>
        <v>-2.1175224986765785E-3</v>
      </c>
      <c r="Q26" s="27">
        <f t="shared" si="7"/>
        <v>1.0752688172042909E-2</v>
      </c>
      <c r="R26" s="27">
        <f t="shared" si="8"/>
        <v>-1.9102196752626823E-3</v>
      </c>
      <c r="S26" s="27">
        <f t="shared" si="9"/>
        <v>7.5449796865930518E-3</v>
      </c>
      <c r="T26" s="27">
        <f t="shared" si="10"/>
        <v>-1.6801493466085806E-2</v>
      </c>
      <c r="U26" s="27">
        <f t="shared" si="1"/>
        <v>4.8511576626240255E-2</v>
      </c>
      <c r="V26" s="27">
        <f t="shared" si="2"/>
        <v>-0.12670671764063349</v>
      </c>
      <c r="W26" s="27">
        <f t="shared" si="3"/>
        <v>1.7595307917889231E-3</v>
      </c>
      <c r="X26" s="27">
        <f t="shared" si="3"/>
        <v>-2.457002457002434E-3</v>
      </c>
      <c r="Y26" s="27">
        <f t="shared" si="3"/>
        <v>1.1834319526627106E-2</v>
      </c>
      <c r="Z26" s="27">
        <f t="shared" si="11"/>
        <v>-1.3460459899046581E-2</v>
      </c>
    </row>
    <row r="27" spans="2:26" x14ac:dyDescent="0.3">
      <c r="B27" s="3" t="s">
        <v>109</v>
      </c>
      <c r="C27" s="11">
        <v>187.2</v>
      </c>
      <c r="D27" s="11">
        <v>173.8</v>
      </c>
      <c r="E27" s="11">
        <v>210.7</v>
      </c>
      <c r="F27" s="11">
        <v>174.6</v>
      </c>
      <c r="G27" s="11">
        <v>158.30000000000001</v>
      </c>
      <c r="H27" s="11">
        <v>194.5</v>
      </c>
      <c r="I27" s="11">
        <v>153.9</v>
      </c>
      <c r="J27" s="11">
        <v>170.9</v>
      </c>
      <c r="K27" s="11">
        <v>121.1</v>
      </c>
      <c r="L27" s="11">
        <v>208.4</v>
      </c>
      <c r="M27" s="11">
        <v>176.7</v>
      </c>
      <c r="N27" s="26">
        <f t="shared" si="4"/>
        <v>175.4636363636364</v>
      </c>
      <c r="O27" s="12">
        <f t="shared" si="5"/>
        <v>4.1621143540919968E-3</v>
      </c>
      <c r="P27" s="27">
        <f t="shared" si="6"/>
        <v>-6.8965517241379917E-3</v>
      </c>
      <c r="Q27" s="27">
        <f t="shared" si="7"/>
        <v>2.7186761229314557E-2</v>
      </c>
      <c r="R27" s="27">
        <f t="shared" si="8"/>
        <v>8.1339712918659744E-3</v>
      </c>
      <c r="S27" s="27">
        <f t="shared" si="9"/>
        <v>5.7603686635944703E-3</v>
      </c>
      <c r="T27" s="27">
        <f t="shared" si="10"/>
        <v>1.8987341772152618E-3</v>
      </c>
      <c r="U27" s="27">
        <f t="shared" si="1"/>
        <v>2.2607781282860208E-2</v>
      </c>
      <c r="V27" s="27">
        <f t="shared" si="2"/>
        <v>-3.7523452157598496E-2</v>
      </c>
      <c r="W27" s="27">
        <f t="shared" si="3"/>
        <v>5.854800936767817E-4</v>
      </c>
      <c r="X27" s="27">
        <f t="shared" si="3"/>
        <v>-5.7471264367816325E-3</v>
      </c>
      <c r="Y27" s="27">
        <f t="shared" si="3"/>
        <v>1.5594541910331468E-2</v>
      </c>
      <c r="Z27" s="27">
        <f t="shared" si="11"/>
        <v>4.5480386583284984E-3</v>
      </c>
    </row>
    <row r="28" spans="2:26" x14ac:dyDescent="0.3">
      <c r="B28" s="3" t="s">
        <v>110</v>
      </c>
      <c r="C28" s="11">
        <v>179.3</v>
      </c>
      <c r="D28" s="11">
        <v>174.4</v>
      </c>
      <c r="E28" s="11">
        <v>207.7</v>
      </c>
      <c r="F28" s="11">
        <v>177.3</v>
      </c>
      <c r="G28" s="11">
        <v>169.5</v>
      </c>
      <c r="H28" s="11">
        <v>175.2</v>
      </c>
      <c r="I28" s="11">
        <v>152.69999999999999</v>
      </c>
      <c r="J28" s="11">
        <v>171</v>
      </c>
      <c r="K28" s="11">
        <v>120</v>
      </c>
      <c r="L28" s="11">
        <v>209.7</v>
      </c>
      <c r="M28" s="11">
        <v>177</v>
      </c>
      <c r="N28" s="26">
        <f t="shared" si="4"/>
        <v>173.9818181818182</v>
      </c>
      <c r="O28" s="12">
        <f t="shared" si="5"/>
        <v>-8.4451582819543951E-3</v>
      </c>
      <c r="P28" s="27">
        <f t="shared" si="6"/>
        <v>-4.2200854700854579E-2</v>
      </c>
      <c r="Q28" s="27">
        <f t="shared" si="7"/>
        <v>3.4522439585730398E-3</v>
      </c>
      <c r="R28" s="27">
        <f t="shared" si="8"/>
        <v>-1.423825344091125E-2</v>
      </c>
      <c r="S28" s="27">
        <f t="shared" si="9"/>
        <v>1.5463917525773294E-2</v>
      </c>
      <c r="T28" s="27">
        <f t="shared" si="10"/>
        <v>7.0751737207833149E-2</v>
      </c>
      <c r="U28" s="27">
        <f t="shared" si="1"/>
        <v>-9.9228791773778982E-2</v>
      </c>
      <c r="V28" s="27">
        <f t="shared" si="2"/>
        <v>-7.7972709551658026E-3</v>
      </c>
      <c r="W28" s="27">
        <f t="shared" si="3"/>
        <v>5.8513750731418557E-4</v>
      </c>
      <c r="X28" s="27">
        <f t="shared" si="3"/>
        <v>-9.0834021469859156E-3</v>
      </c>
      <c r="Y28" s="27">
        <f t="shared" si="3"/>
        <v>6.2380038387715112E-3</v>
      </c>
      <c r="Z28" s="27">
        <f t="shared" si="11"/>
        <v>1.6977928692700134E-3</v>
      </c>
    </row>
    <row r="29" spans="2:26" x14ac:dyDescent="0.3">
      <c r="B29" s="3" t="s">
        <v>111</v>
      </c>
      <c r="C29" s="11">
        <v>179.2</v>
      </c>
      <c r="D29" s="11">
        <v>174.4</v>
      </c>
      <c r="E29" s="11">
        <v>207.7</v>
      </c>
      <c r="F29" s="11">
        <v>177.3</v>
      </c>
      <c r="G29" s="11">
        <v>169.5</v>
      </c>
      <c r="H29" s="11">
        <v>175.2</v>
      </c>
      <c r="I29" s="11">
        <v>152.80000000000001</v>
      </c>
      <c r="J29" s="11">
        <v>171.1</v>
      </c>
      <c r="K29" s="11">
        <v>120</v>
      </c>
      <c r="L29" s="11">
        <v>209.7</v>
      </c>
      <c r="M29" s="11">
        <v>177</v>
      </c>
      <c r="N29" s="26">
        <f t="shared" si="4"/>
        <v>173.99090909090907</v>
      </c>
      <c r="O29" s="12">
        <f t="shared" si="5"/>
        <v>5.2252063956315396E-5</v>
      </c>
      <c r="P29" s="27">
        <f t="shared" si="6"/>
        <v>-5.5772448410497898E-4</v>
      </c>
      <c r="Q29" s="27">
        <f t="shared" si="7"/>
        <v>0</v>
      </c>
      <c r="R29" s="27">
        <f t="shared" si="8"/>
        <v>0</v>
      </c>
      <c r="S29" s="27">
        <f t="shared" si="9"/>
        <v>0</v>
      </c>
      <c r="T29" s="27">
        <f t="shared" si="10"/>
        <v>0</v>
      </c>
      <c r="U29" s="27">
        <f t="shared" si="1"/>
        <v>0</v>
      </c>
      <c r="V29" s="27">
        <f t="shared" si="2"/>
        <v>6.5487884741337755E-4</v>
      </c>
      <c r="W29" s="27">
        <f t="shared" si="3"/>
        <v>5.8479532163739363E-4</v>
      </c>
      <c r="X29" s="27">
        <f t="shared" si="3"/>
        <v>0</v>
      </c>
      <c r="Y29" s="27">
        <f t="shared" si="3"/>
        <v>0</v>
      </c>
      <c r="Z29" s="27">
        <f t="shared" si="11"/>
        <v>0</v>
      </c>
    </row>
    <row r="30" spans="2:26" x14ac:dyDescent="0.3">
      <c r="B30" s="3" t="s">
        <v>112</v>
      </c>
      <c r="C30" s="11">
        <v>174.9</v>
      </c>
      <c r="D30" s="11">
        <v>173.8</v>
      </c>
      <c r="E30" s="11">
        <v>209.3</v>
      </c>
      <c r="F30" s="11">
        <v>178.4</v>
      </c>
      <c r="G30" s="11">
        <v>176.3</v>
      </c>
      <c r="H30" s="11">
        <v>169.6</v>
      </c>
      <c r="I30" s="11">
        <v>155.4</v>
      </c>
      <c r="J30" s="11">
        <v>173.4</v>
      </c>
      <c r="K30" s="11">
        <v>121.3</v>
      </c>
      <c r="L30" s="11">
        <v>212.9</v>
      </c>
      <c r="M30" s="11">
        <v>177.9</v>
      </c>
      <c r="N30" s="26">
        <f t="shared" si="4"/>
        <v>174.83636363636367</v>
      </c>
      <c r="O30" s="12">
        <f t="shared" si="5"/>
        <v>4.8591880453527402E-3</v>
      </c>
      <c r="P30" s="27">
        <f>(C30-C29)/C29</f>
        <v>-2.3995535714285622E-2</v>
      </c>
      <c r="Q30" s="27">
        <f t="shared" si="7"/>
        <v>-3.4403669724770315E-3</v>
      </c>
      <c r="R30" s="27">
        <f t="shared" si="8"/>
        <v>7.7034183919115207E-3</v>
      </c>
      <c r="S30" s="27">
        <f t="shared" si="9"/>
        <v>6.2041737168640398E-3</v>
      </c>
      <c r="T30" s="27">
        <f t="shared" si="10"/>
        <v>4.0117994100295054E-2</v>
      </c>
      <c r="U30" s="27">
        <f t="shared" si="1"/>
        <v>-3.1963470319634674E-2</v>
      </c>
      <c r="V30" s="27">
        <f t="shared" si="2"/>
        <v>1.7015706806282685E-2</v>
      </c>
      <c r="W30" s="27">
        <f t="shared" si="3"/>
        <v>1.3442431326709593E-2</v>
      </c>
      <c r="X30" s="27">
        <f t="shared" si="3"/>
        <v>1.0833333333333309E-2</v>
      </c>
      <c r="Y30" s="27">
        <f t="shared" si="3"/>
        <v>1.5259895088221351E-2</v>
      </c>
      <c r="Z30" s="27">
        <f>(M30-M29)/M29</f>
        <v>5.0847457627118961E-3</v>
      </c>
    </row>
    <row r="31" spans="2:26" x14ac:dyDescent="0.3">
      <c r="B31" s="3" t="s">
        <v>114</v>
      </c>
      <c r="C31" s="11">
        <v>170</v>
      </c>
      <c r="D31" s="11">
        <v>173.7</v>
      </c>
      <c r="E31" s="11">
        <v>214.3</v>
      </c>
      <c r="F31" s="11">
        <v>179.5</v>
      </c>
      <c r="G31" s="11">
        <v>172.2</v>
      </c>
      <c r="H31" s="11">
        <v>173.2</v>
      </c>
      <c r="I31" s="11">
        <v>161</v>
      </c>
      <c r="J31" s="11">
        <v>175.6</v>
      </c>
      <c r="K31" s="11">
        <v>122.7</v>
      </c>
      <c r="L31" s="11">
        <v>218</v>
      </c>
      <c r="M31" s="11">
        <v>179.1</v>
      </c>
      <c r="N31" s="26">
        <f t="shared" si="4"/>
        <v>176.29999999999998</v>
      </c>
      <c r="O31" s="12">
        <f t="shared" si="5"/>
        <v>8.3714642262892169E-3</v>
      </c>
      <c r="P31" s="27">
        <f t="shared" si="6"/>
        <v>-2.801600914808465E-2</v>
      </c>
      <c r="Q31" s="27">
        <f t="shared" si="7"/>
        <v>-5.7537399309564284E-4</v>
      </c>
      <c r="R31" s="27">
        <f t="shared" si="8"/>
        <v>2.3889154323936932E-2</v>
      </c>
      <c r="S31" s="27">
        <f t="shared" si="9"/>
        <v>6.1659192825111791E-3</v>
      </c>
      <c r="T31" s="27">
        <f t="shared" si="10"/>
        <v>-2.32558139534885E-2</v>
      </c>
      <c r="U31" s="27">
        <f t="shared" si="1"/>
        <v>2.122641509433959E-2</v>
      </c>
      <c r="V31" s="27">
        <f t="shared" si="2"/>
        <v>3.6036036036036001E-2</v>
      </c>
      <c r="W31" s="27">
        <f t="shared" si="3"/>
        <v>1.2687427912341341E-2</v>
      </c>
      <c r="X31" s="27">
        <f t="shared" si="3"/>
        <v>1.1541632316570533E-2</v>
      </c>
      <c r="Y31" s="27">
        <f t="shared" si="3"/>
        <v>2.3954908407703118E-2</v>
      </c>
      <c r="Z31" s="27">
        <f t="shared" si="11"/>
        <v>6.7453625632377095E-3</v>
      </c>
    </row>
    <row r="32" spans="2:26" x14ac:dyDescent="0.3">
      <c r="B32" s="3" t="s">
        <v>51</v>
      </c>
      <c r="C32" s="11">
        <v>187.28461538461539</v>
      </c>
      <c r="D32" s="11">
        <v>166.25384615384615</v>
      </c>
      <c r="E32" s="11">
        <v>211.0846153846154</v>
      </c>
      <c r="F32" s="11">
        <v>172.23076923076923</v>
      </c>
      <c r="G32" s="11">
        <v>167.83076923076922</v>
      </c>
      <c r="H32" s="11">
        <v>175.19230769230768</v>
      </c>
      <c r="I32" s="11">
        <v>172.02307692307693</v>
      </c>
      <c r="J32" s="11">
        <v>169.43846153846155</v>
      </c>
      <c r="K32" s="11">
        <v>121</v>
      </c>
      <c r="L32" s="11">
        <v>2619.5000000000005</v>
      </c>
      <c r="M32" s="11">
        <v>176.83076923076922</v>
      </c>
      <c r="O32" s="27"/>
      <c r="P32" s="35">
        <f>SUM(P20:P31)</f>
        <v>-0.17196654140370343</v>
      </c>
      <c r="Q32" s="35">
        <f t="shared" ref="Q32:Z32" si="12">SUM(Q20:Q31)</f>
        <v>0.12085220029035372</v>
      </c>
      <c r="R32" s="35">
        <f t="shared" si="12"/>
        <v>-1.0960038075584964E-2</v>
      </c>
      <c r="S32" s="35">
        <f t="shared" si="12"/>
        <v>8.5207275393248891E-2</v>
      </c>
      <c r="T32" s="35">
        <f t="shared" si="12"/>
        <v>1.212892331833881E-2</v>
      </c>
      <c r="U32" s="35">
        <f t="shared" si="12"/>
        <v>7.5858020928857975E-2</v>
      </c>
      <c r="V32" s="35">
        <f t="shared" si="12"/>
        <v>-6.6466572857876549E-2</v>
      </c>
      <c r="W32" s="35">
        <f t="shared" si="12"/>
        <v>6.4492479670082731E-2</v>
      </c>
      <c r="X32" s="35">
        <f t="shared" si="12"/>
        <v>2.4990010110495772E-2</v>
      </c>
      <c r="Y32" s="35">
        <f t="shared" si="12"/>
        <v>0.16602381892132637</v>
      </c>
      <c r="Z32" s="35">
        <f t="shared" si="12"/>
        <v>3.3242003192595196E-2</v>
      </c>
    </row>
    <row r="37" spans="2:3" x14ac:dyDescent="0.3">
      <c r="B37" s="3"/>
    </row>
    <row r="38" spans="2:3" x14ac:dyDescent="0.3">
      <c r="B38" s="3" t="s">
        <v>115</v>
      </c>
      <c r="C38" s="12">
        <v>1.1009368549197865E-2</v>
      </c>
    </row>
    <row r="39" spans="2:3" x14ac:dyDescent="0.3">
      <c r="B39" s="3" t="s">
        <v>116</v>
      </c>
      <c r="C39" s="12">
        <v>1.3611852782577545E-3</v>
      </c>
    </row>
    <row r="40" spans="2:3" x14ac:dyDescent="0.3">
      <c r="B40" s="3" t="s">
        <v>117</v>
      </c>
      <c r="C40" s="12">
        <v>7.3194960004197734E-4</v>
      </c>
    </row>
    <row r="41" spans="2:3" x14ac:dyDescent="0.3">
      <c r="B41" s="3" t="s">
        <v>118</v>
      </c>
      <c r="C41" s="12">
        <v>5.224387440572251E-3</v>
      </c>
    </row>
    <row r="42" spans="2:3" x14ac:dyDescent="0.3">
      <c r="B42" s="3" t="s">
        <v>119</v>
      </c>
      <c r="C42" s="12">
        <v>7.795852606413611E-3</v>
      </c>
    </row>
    <row r="43" spans="2:3" x14ac:dyDescent="0.3">
      <c r="B43" s="3" t="s">
        <v>120</v>
      </c>
      <c r="C43" s="12">
        <v>-1.1345469547729295E-3</v>
      </c>
    </row>
    <row r="44" spans="2:3" x14ac:dyDescent="0.3">
      <c r="B44" s="3" t="s">
        <v>121</v>
      </c>
      <c r="C44" s="12">
        <v>-7.6410759460992681E-3</v>
      </c>
    </row>
    <row r="45" spans="2:3" x14ac:dyDescent="0.3">
      <c r="B45" s="3" t="s">
        <v>109</v>
      </c>
      <c r="C45" s="12">
        <v>4.1621143540919968E-3</v>
      </c>
    </row>
    <row r="46" spans="2:3" x14ac:dyDescent="0.3">
      <c r="B46" s="3" t="s">
        <v>110</v>
      </c>
      <c r="C46" s="12">
        <v>-8.4451582819543951E-3</v>
      </c>
    </row>
    <row r="47" spans="2:3" x14ac:dyDescent="0.3">
      <c r="B47" s="3" t="s">
        <v>111</v>
      </c>
      <c r="C47" s="12">
        <v>5.2252063956315396E-5</v>
      </c>
    </row>
    <row r="48" spans="2:3" x14ac:dyDescent="0.3">
      <c r="B48" s="3" t="s">
        <v>112</v>
      </c>
      <c r="C48" s="12">
        <v>4.8591880453527402E-3</v>
      </c>
    </row>
    <row r="49" spans="2:14" x14ac:dyDescent="0.3">
      <c r="B49" s="3" t="s">
        <v>114</v>
      </c>
      <c r="C49" s="12">
        <v>8.3714642262892169E-3</v>
      </c>
    </row>
    <row r="55" spans="2:14" x14ac:dyDescent="0.3">
      <c r="N55" s="27"/>
    </row>
    <row r="57" spans="2:14" x14ac:dyDescent="0.3">
      <c r="B57" s="25"/>
      <c r="C57" s="25" t="s">
        <v>132</v>
      </c>
      <c r="D57" s="27">
        <v>-0.17196654140370343</v>
      </c>
    </row>
    <row r="58" spans="2:14" x14ac:dyDescent="0.3">
      <c r="B58" s="25"/>
      <c r="C58" s="25" t="s">
        <v>133</v>
      </c>
      <c r="D58" s="27">
        <v>0.12085220029035372</v>
      </c>
    </row>
    <row r="59" spans="2:14" x14ac:dyDescent="0.3">
      <c r="B59" s="25"/>
      <c r="C59" s="25" t="s">
        <v>134</v>
      </c>
      <c r="D59" s="27">
        <v>-1.0960038075584964E-2</v>
      </c>
    </row>
    <row r="60" spans="2:14" x14ac:dyDescent="0.3">
      <c r="B60" s="25"/>
      <c r="C60" s="25" t="s">
        <v>135</v>
      </c>
      <c r="D60" s="27">
        <v>8.5207275393248891E-2</v>
      </c>
    </row>
    <row r="61" spans="2:14" x14ac:dyDescent="0.3">
      <c r="B61" s="25"/>
      <c r="C61" s="25" t="s">
        <v>136</v>
      </c>
      <c r="D61" s="27">
        <v>1.212892331833881E-2</v>
      </c>
    </row>
    <row r="62" spans="2:14" x14ac:dyDescent="0.3">
      <c r="B62" s="25"/>
      <c r="C62" s="25" t="s">
        <v>137</v>
      </c>
      <c r="D62" s="27">
        <v>7.5858020928857975E-2</v>
      </c>
    </row>
    <row r="63" spans="2:14" x14ac:dyDescent="0.3">
      <c r="B63" s="25"/>
      <c r="C63" s="25" t="s">
        <v>138</v>
      </c>
      <c r="D63" s="27">
        <v>-6.6466572857876549E-2</v>
      </c>
    </row>
    <row r="64" spans="2:14" x14ac:dyDescent="0.3">
      <c r="B64" s="25"/>
      <c r="C64" s="25" t="s">
        <v>139</v>
      </c>
      <c r="D64" s="27">
        <v>6.4492479670082731E-2</v>
      </c>
    </row>
    <row r="65" spans="2:4" x14ac:dyDescent="0.3">
      <c r="B65" s="25"/>
      <c r="C65" s="25" t="s">
        <v>140</v>
      </c>
      <c r="D65" s="27">
        <v>2.4990010110495772E-2</v>
      </c>
    </row>
    <row r="66" spans="2:4" x14ac:dyDescent="0.3">
      <c r="B66" s="25"/>
      <c r="C66" s="25" t="s">
        <v>12</v>
      </c>
      <c r="D66" s="27">
        <v>0.16602381892132637</v>
      </c>
    </row>
    <row r="67" spans="2:4" x14ac:dyDescent="0.3">
      <c r="B67" s="25"/>
      <c r="C67" s="25" t="s">
        <v>141</v>
      </c>
      <c r="D67" s="27">
        <v>3.3242003192595196E-2</v>
      </c>
    </row>
  </sheetData>
  <conditionalFormatting sqref="N19:N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992C-06CE-4494-9A4F-DFE3853AD02C}">
  <dimension ref="A1:S113"/>
  <sheetViews>
    <sheetView zoomScale="54" workbookViewId="0">
      <selection activeCell="AA18" sqref="AA18"/>
    </sheetView>
  </sheetViews>
  <sheetFormatPr defaultColWidth="9.33203125" defaultRowHeight="14.4" x14ac:dyDescent="0.3"/>
  <cols>
    <col min="2" max="2" width="12.77734375" bestFit="1" customWidth="1"/>
    <col min="3" max="3" width="22.44140625" bestFit="1" customWidth="1"/>
    <col min="4" max="4" width="36.77734375" bestFit="1" customWidth="1"/>
    <col min="5" max="5" width="16" bestFit="1" customWidth="1"/>
    <col min="6" max="7" width="31.88671875" bestFit="1" customWidth="1"/>
    <col min="8" max="10" width="20" bestFit="1" customWidth="1"/>
    <col min="11" max="13" width="26.21875" bestFit="1" customWidth="1"/>
  </cols>
  <sheetData>
    <row r="1" spans="1:19" x14ac:dyDescent="0.3">
      <c r="A1" s="2" t="s">
        <v>2</v>
      </c>
      <c r="B1" t="s">
        <v>149</v>
      </c>
    </row>
    <row r="2" spans="1:19" x14ac:dyDescent="0.3">
      <c r="A2" s="2" t="s">
        <v>1</v>
      </c>
      <c r="B2" t="s">
        <v>103</v>
      </c>
    </row>
    <row r="4" spans="1:19" x14ac:dyDescent="0.3">
      <c r="A4" s="2" t="s">
        <v>50</v>
      </c>
      <c r="B4" t="s">
        <v>124</v>
      </c>
      <c r="C4" t="s">
        <v>123</v>
      </c>
      <c r="D4" t="s">
        <v>129</v>
      </c>
      <c r="E4" t="s">
        <v>173</v>
      </c>
      <c r="F4" t="s">
        <v>126</v>
      </c>
      <c r="G4" t="s">
        <v>172</v>
      </c>
      <c r="H4" t="s">
        <v>122</v>
      </c>
      <c r="I4" t="s">
        <v>127</v>
      </c>
      <c r="J4" t="s">
        <v>131</v>
      </c>
      <c r="K4" t="s">
        <v>130</v>
      </c>
      <c r="L4" t="s">
        <v>128</v>
      </c>
      <c r="M4" t="s">
        <v>125</v>
      </c>
    </row>
    <row r="5" spans="1:19" x14ac:dyDescent="0.3">
      <c r="A5" s="3" t="s">
        <v>157</v>
      </c>
      <c r="B5" s="11">
        <v>151.1</v>
      </c>
      <c r="C5" s="11">
        <v>137.33333333333334</v>
      </c>
      <c r="D5" s="11">
        <v>119.93333333333334</v>
      </c>
      <c r="E5" s="11">
        <v>154.53333333333333</v>
      </c>
      <c r="F5" s="11">
        <v>135.36666666666667</v>
      </c>
      <c r="G5" s="11">
        <v>139.56666666666669</v>
      </c>
      <c r="H5" s="11">
        <v>121.26666666666665</v>
      </c>
      <c r="I5" s="11">
        <v>140.63333333333333</v>
      </c>
      <c r="J5" s="11">
        <v>137.36666666666667</v>
      </c>
      <c r="K5" s="11">
        <v>109.3</v>
      </c>
      <c r="L5" s="11">
        <v>131.16666666666666</v>
      </c>
      <c r="M5" s="11">
        <v>142.06666666666663</v>
      </c>
      <c r="N5" s="11">
        <f>AVERAGE(B5:M5)</f>
        <v>134.96944444444443</v>
      </c>
      <c r="O5" s="3" t="s">
        <v>157</v>
      </c>
      <c r="P5" s="11"/>
      <c r="Q5" s="11"/>
      <c r="R5" s="11"/>
      <c r="S5" s="11"/>
    </row>
    <row r="6" spans="1:19" x14ac:dyDescent="0.3">
      <c r="A6" s="3" t="s">
        <v>155</v>
      </c>
      <c r="B6" s="11">
        <v>151.70000000000002</v>
      </c>
      <c r="C6" s="11">
        <v>137.93333333333334</v>
      </c>
      <c r="D6" s="11">
        <v>120.8</v>
      </c>
      <c r="E6" s="11">
        <v>154.86666666666665</v>
      </c>
      <c r="F6" s="11">
        <v>136.4</v>
      </c>
      <c r="G6" s="11">
        <v>139.9</v>
      </c>
      <c r="H6" s="11">
        <v>121.5</v>
      </c>
      <c r="I6" s="11">
        <v>141.96666666666667</v>
      </c>
      <c r="J6" s="11">
        <v>137.56666666666666</v>
      </c>
      <c r="K6" s="11">
        <v>109.23333333333333</v>
      </c>
      <c r="L6" s="11">
        <v>129.99999999999997</v>
      </c>
      <c r="M6" s="11">
        <v>142.13333333333333</v>
      </c>
      <c r="N6" s="11">
        <f t="shared" ref="N6:N27" si="0">AVERAGE(B6:M6)</f>
        <v>135.33333333333334</v>
      </c>
      <c r="O6" s="3" t="s">
        <v>155</v>
      </c>
    </row>
    <row r="7" spans="1:19" x14ac:dyDescent="0.3">
      <c r="A7" s="3" t="s">
        <v>163</v>
      </c>
      <c r="B7" s="11">
        <v>152.73333333333335</v>
      </c>
      <c r="C7" s="11">
        <v>138.13333333333333</v>
      </c>
      <c r="D7" s="11">
        <v>121.60000000000001</v>
      </c>
      <c r="E7" s="11">
        <v>155.16666666666666</v>
      </c>
      <c r="F7" s="11">
        <v>137.70000000000002</v>
      </c>
      <c r="G7" s="11">
        <v>139.70000000000002</v>
      </c>
      <c r="H7" s="11">
        <v>121.5</v>
      </c>
      <c r="I7" s="11">
        <v>140.63333333333335</v>
      </c>
      <c r="J7" s="11">
        <v>138.33333333333334</v>
      </c>
      <c r="K7" s="11">
        <v>109.23333333333333</v>
      </c>
      <c r="L7" s="11">
        <v>133.99999999999997</v>
      </c>
      <c r="M7" s="11">
        <v>142.23333333333335</v>
      </c>
      <c r="N7" s="11">
        <f t="shared" si="0"/>
        <v>135.91388888888889</v>
      </c>
      <c r="O7" s="3" t="s">
        <v>163</v>
      </c>
    </row>
    <row r="8" spans="1:19" x14ac:dyDescent="0.3">
      <c r="A8" s="3" t="s">
        <v>165</v>
      </c>
      <c r="B8" s="11">
        <v>158.23333333333332</v>
      </c>
      <c r="C8" s="11">
        <v>138.70000000000002</v>
      </c>
      <c r="D8" s="11">
        <v>124.8</v>
      </c>
      <c r="E8" s="11">
        <v>155.46666666666667</v>
      </c>
      <c r="F8" s="11">
        <v>146.63333333333333</v>
      </c>
      <c r="G8" s="11">
        <v>140.06666666666666</v>
      </c>
      <c r="H8" s="11">
        <v>121.53333333333335</v>
      </c>
      <c r="I8" s="11">
        <v>136.26666666666668</v>
      </c>
      <c r="J8" s="11">
        <v>141.30000000000001</v>
      </c>
      <c r="K8" s="11">
        <v>110.13333333333334</v>
      </c>
      <c r="L8" s="11">
        <v>146</v>
      </c>
      <c r="M8" s="11">
        <v>142.5</v>
      </c>
      <c r="N8" s="11">
        <f t="shared" si="0"/>
        <v>138.46944444444446</v>
      </c>
      <c r="O8" s="3" t="s">
        <v>165</v>
      </c>
    </row>
    <row r="9" spans="1:19" x14ac:dyDescent="0.3">
      <c r="A9" s="3" t="s">
        <v>161</v>
      </c>
      <c r="B9" s="11">
        <v>161.73333333333332</v>
      </c>
      <c r="C9" s="11">
        <v>139.06666666666666</v>
      </c>
      <c r="D9" s="11">
        <v>128.13333333333333</v>
      </c>
      <c r="E9" s="11">
        <v>155.86666666666667</v>
      </c>
      <c r="F9" s="11">
        <v>147.00000000000003</v>
      </c>
      <c r="G9" s="11">
        <v>140.66666666666666</v>
      </c>
      <c r="H9" s="11">
        <v>121.7</v>
      </c>
      <c r="I9" s="11">
        <v>138.13333333333335</v>
      </c>
      <c r="J9" s="11">
        <v>143.1</v>
      </c>
      <c r="K9" s="11">
        <v>111.13333333333333</v>
      </c>
      <c r="L9" s="11">
        <v>153.63333333333333</v>
      </c>
      <c r="M9" s="11">
        <v>143.30000000000001</v>
      </c>
      <c r="N9" s="11">
        <f t="shared" si="0"/>
        <v>140.28888888888886</v>
      </c>
      <c r="O9" s="3" t="s">
        <v>161</v>
      </c>
    </row>
    <row r="10" spans="1:19" x14ac:dyDescent="0.3">
      <c r="A10" s="3" t="s">
        <v>159</v>
      </c>
      <c r="B10" s="11">
        <v>162.29999999999998</v>
      </c>
      <c r="C10" s="11">
        <v>139.70000000000002</v>
      </c>
      <c r="D10" s="11">
        <v>129.83333333333334</v>
      </c>
      <c r="E10" s="11">
        <v>156.16666666666666</v>
      </c>
      <c r="F10" s="11">
        <v>150.46666666666667</v>
      </c>
      <c r="G10" s="11">
        <v>141.66666666666666</v>
      </c>
      <c r="H10" s="11">
        <v>122.06666666666668</v>
      </c>
      <c r="I10" s="11">
        <v>140.29999999999998</v>
      </c>
      <c r="J10" s="11">
        <v>145.13333333333333</v>
      </c>
      <c r="K10" s="11">
        <v>111.23333333333333</v>
      </c>
      <c r="L10" s="11">
        <v>163.5</v>
      </c>
      <c r="M10" s="11">
        <v>144</v>
      </c>
      <c r="N10" s="11">
        <f t="shared" si="0"/>
        <v>142.19722222222222</v>
      </c>
      <c r="O10" s="3" t="s">
        <v>159</v>
      </c>
    </row>
    <row r="11" spans="1:19" x14ac:dyDescent="0.3">
      <c r="A11" s="3" t="s">
        <v>151</v>
      </c>
      <c r="B11" s="11">
        <v>160.26666666666665</v>
      </c>
      <c r="C11" s="11">
        <v>140.46666666666667</v>
      </c>
      <c r="D11" s="11">
        <v>130.73333333333335</v>
      </c>
      <c r="E11" s="11">
        <v>156.56666666666663</v>
      </c>
      <c r="F11" s="11">
        <v>149.6</v>
      </c>
      <c r="G11" s="11">
        <v>142.6</v>
      </c>
      <c r="H11" s="11">
        <v>122.5</v>
      </c>
      <c r="I11" s="11">
        <v>138.79999999999998</v>
      </c>
      <c r="J11" s="11">
        <v>146.33333333333334</v>
      </c>
      <c r="K11" s="11">
        <v>112.13333333333333</v>
      </c>
      <c r="L11" s="11">
        <v>170.9</v>
      </c>
      <c r="M11" s="11">
        <v>144.73333333333335</v>
      </c>
      <c r="N11" s="11">
        <f t="shared" si="0"/>
        <v>142.96944444444446</v>
      </c>
      <c r="O11" s="3" t="s">
        <v>151</v>
      </c>
    </row>
    <row r="12" spans="1:19" x14ac:dyDescent="0.3">
      <c r="A12" s="3" t="s">
        <v>170</v>
      </c>
      <c r="B12" s="11">
        <v>160.46666666666667</v>
      </c>
      <c r="C12" s="11">
        <v>141.23333333333335</v>
      </c>
      <c r="D12" s="11">
        <v>131.36666666666665</v>
      </c>
      <c r="E12" s="11">
        <v>156.80000000000001</v>
      </c>
      <c r="F12" s="11">
        <v>146.73333333333332</v>
      </c>
      <c r="G12" s="11">
        <v>144.03333333333333</v>
      </c>
      <c r="H12" s="11">
        <v>123.13333333333333</v>
      </c>
      <c r="I12" s="11">
        <v>139.83333333333334</v>
      </c>
      <c r="J12" s="11">
        <v>147.33333333333334</v>
      </c>
      <c r="K12" s="11">
        <v>113.33333333333333</v>
      </c>
      <c r="L12" s="11">
        <v>176.33333333333334</v>
      </c>
      <c r="M12" s="11">
        <v>145.33333333333334</v>
      </c>
      <c r="N12" s="11">
        <f t="shared" si="0"/>
        <v>143.82777777777775</v>
      </c>
      <c r="O12" s="3" t="s">
        <v>170</v>
      </c>
    </row>
    <row r="13" spans="1:19" x14ac:dyDescent="0.3">
      <c r="A13" s="3" t="s">
        <v>168</v>
      </c>
      <c r="B13" s="11">
        <v>160.79999999999998</v>
      </c>
      <c r="C13" s="11">
        <v>142.1</v>
      </c>
      <c r="D13" s="11">
        <v>132.26666666666665</v>
      </c>
      <c r="E13" s="11">
        <v>157.1</v>
      </c>
      <c r="F13" s="11">
        <v>148.1</v>
      </c>
      <c r="G13" s="11">
        <v>145.36666666666667</v>
      </c>
      <c r="H13" s="11">
        <v>123.53333333333335</v>
      </c>
      <c r="I13" s="11">
        <v>142.83333333333331</v>
      </c>
      <c r="J13" s="11">
        <v>149.93333333333334</v>
      </c>
      <c r="K13" s="11">
        <v>114.13333333333333</v>
      </c>
      <c r="L13" s="11">
        <v>191.4666666666667</v>
      </c>
      <c r="M13" s="11">
        <v>146.1</v>
      </c>
      <c r="N13" s="11">
        <f t="shared" si="0"/>
        <v>146.14444444444442</v>
      </c>
      <c r="O13" s="3" t="s">
        <v>168</v>
      </c>
    </row>
    <row r="14" spans="1:19" x14ac:dyDescent="0.3">
      <c r="A14" s="3" t="s">
        <v>166</v>
      </c>
      <c r="B14" s="11">
        <v>163.1</v>
      </c>
      <c r="C14" s="11">
        <v>142.80000000000001</v>
      </c>
      <c r="D14" s="11">
        <v>135.49999999999997</v>
      </c>
      <c r="E14" s="11">
        <v>157.46666666666667</v>
      </c>
      <c r="F14" s="11">
        <v>147.46666666666667</v>
      </c>
      <c r="G14" s="11">
        <v>146.86666666666667</v>
      </c>
      <c r="H14" s="11">
        <v>123.93333333333334</v>
      </c>
      <c r="I14" s="11">
        <v>145.93333333333334</v>
      </c>
      <c r="J14" s="11">
        <v>152.13333333333333</v>
      </c>
      <c r="K14" s="11">
        <v>114.33333333333333</v>
      </c>
      <c r="L14" s="11">
        <v>202.23333333333332</v>
      </c>
      <c r="M14" s="11">
        <v>146.56666666666669</v>
      </c>
      <c r="N14" s="11">
        <f t="shared" si="0"/>
        <v>148.19444444444446</v>
      </c>
      <c r="O14" s="3" t="s">
        <v>166</v>
      </c>
    </row>
    <row r="15" spans="1:19" x14ac:dyDescent="0.3">
      <c r="A15" s="3" t="s">
        <v>153</v>
      </c>
      <c r="B15" s="11">
        <v>164.93333333333334</v>
      </c>
      <c r="C15" s="11">
        <v>143.73333333333332</v>
      </c>
      <c r="D15" s="11">
        <v>138.1</v>
      </c>
      <c r="E15" s="11">
        <v>158</v>
      </c>
      <c r="F15" s="11">
        <v>145.73333333333332</v>
      </c>
      <c r="G15" s="11">
        <v>148.6</v>
      </c>
      <c r="H15" s="11">
        <v>125.3</v>
      </c>
      <c r="I15" s="11">
        <v>151.43333333333331</v>
      </c>
      <c r="J15" s="11">
        <v>155.20000000000002</v>
      </c>
      <c r="K15" s="11">
        <v>114.09999999999998</v>
      </c>
      <c r="L15" s="11">
        <v>219.33333333333334</v>
      </c>
      <c r="M15" s="11">
        <v>148.16666666666666</v>
      </c>
      <c r="N15" s="11">
        <f t="shared" si="0"/>
        <v>151.05277777777778</v>
      </c>
      <c r="O15" s="3" t="s">
        <v>153</v>
      </c>
    </row>
    <row r="16" spans="1:19" x14ac:dyDescent="0.3">
      <c r="A16" s="3" t="s">
        <v>158</v>
      </c>
      <c r="B16" s="11">
        <v>167.43333333333334</v>
      </c>
      <c r="C16" s="11">
        <v>144.53333333333333</v>
      </c>
      <c r="D16" s="11">
        <v>140.20000000000002</v>
      </c>
      <c r="E16" s="11">
        <v>158.6</v>
      </c>
      <c r="F16" s="11">
        <v>143.26666666666668</v>
      </c>
      <c r="G16" s="11">
        <v>150.66666666666666</v>
      </c>
      <c r="H16" s="11">
        <v>129.4</v>
      </c>
      <c r="I16" s="11">
        <v>155.13333333333333</v>
      </c>
      <c r="J16" s="11">
        <v>153.63333333333333</v>
      </c>
      <c r="K16" s="11">
        <v>114.23333333333333</v>
      </c>
      <c r="L16" s="11">
        <v>198.76666666666665</v>
      </c>
      <c r="M16" s="11">
        <v>149.96666666666667</v>
      </c>
      <c r="N16" s="11">
        <f t="shared" si="0"/>
        <v>150.48611111111111</v>
      </c>
      <c r="O16" s="3" t="s">
        <v>158</v>
      </c>
    </row>
    <row r="17" spans="1:15" x14ac:dyDescent="0.3">
      <c r="A17" s="3" t="s">
        <v>156</v>
      </c>
      <c r="B17" s="11">
        <v>167.53333333333333</v>
      </c>
      <c r="C17" s="11">
        <v>145.06666666666666</v>
      </c>
      <c r="D17" s="11">
        <v>140.83333333333334</v>
      </c>
      <c r="E17" s="11">
        <v>159.1</v>
      </c>
      <c r="F17" s="11">
        <v>141.86666666666665</v>
      </c>
      <c r="G17" s="11">
        <v>151.73333333333332</v>
      </c>
      <c r="H17" s="11">
        <v>130.83333333333334</v>
      </c>
      <c r="I17" s="11">
        <v>151.93333333333331</v>
      </c>
      <c r="J17" s="11">
        <v>150.66666666666666</v>
      </c>
      <c r="K17" s="11">
        <v>113.76666666666665</v>
      </c>
      <c r="L17" s="11">
        <v>172.5</v>
      </c>
      <c r="M17" s="11">
        <v>150.79999999999998</v>
      </c>
      <c r="N17" s="11">
        <f t="shared" si="0"/>
        <v>148.05277777777778</v>
      </c>
      <c r="O17" s="3" t="s">
        <v>156</v>
      </c>
    </row>
    <row r="18" spans="1:15" x14ac:dyDescent="0.3">
      <c r="A18" s="3" t="s">
        <v>164</v>
      </c>
      <c r="B18" s="11">
        <v>167.1</v>
      </c>
      <c r="C18" s="11">
        <v>145.33333333333334</v>
      </c>
      <c r="D18" s="11">
        <v>140.86666666666665</v>
      </c>
      <c r="E18" s="11">
        <v>159.56666666666666</v>
      </c>
      <c r="F18" s="11">
        <v>142.53333333333333</v>
      </c>
      <c r="G18" s="11">
        <v>152.9</v>
      </c>
      <c r="H18" s="11">
        <v>130.66666666666666</v>
      </c>
      <c r="I18" s="11">
        <v>148.20000000000002</v>
      </c>
      <c r="J18" s="11">
        <v>149.06666666666666</v>
      </c>
      <c r="K18" s="11">
        <v>113.40000000000002</v>
      </c>
      <c r="L18" s="11">
        <v>158.86666666666667</v>
      </c>
      <c r="M18" s="11">
        <v>151.43333333333334</v>
      </c>
      <c r="N18" s="11">
        <f t="shared" si="0"/>
        <v>146.66111111111113</v>
      </c>
      <c r="O18" s="3" t="s">
        <v>164</v>
      </c>
    </row>
    <row r="19" spans="1:15" x14ac:dyDescent="0.3">
      <c r="A19" s="3" t="s">
        <v>150</v>
      </c>
      <c r="B19" s="11">
        <v>180.2166666666667</v>
      </c>
      <c r="C19" s="11">
        <v>149.23333333333332</v>
      </c>
      <c r="D19" s="11">
        <v>150.46666666666667</v>
      </c>
      <c r="E19" s="11">
        <v>160.66666666666666</v>
      </c>
      <c r="F19" s="11">
        <v>150.03333333333333</v>
      </c>
      <c r="G19" s="11">
        <v>156.6</v>
      </c>
      <c r="H19" s="11">
        <v>134.6</v>
      </c>
      <c r="I19" s="11">
        <v>149.20000000000002</v>
      </c>
      <c r="J19" s="11">
        <v>151.66666666666666</v>
      </c>
      <c r="K19" s="11">
        <v>120.43333333333334</v>
      </c>
      <c r="L19" s="11">
        <v>170.43333333333334</v>
      </c>
      <c r="M19" s="11">
        <v>155.56666666666669</v>
      </c>
      <c r="N19" s="11">
        <f t="shared" si="0"/>
        <v>152.42638888888891</v>
      </c>
      <c r="O19" s="3" t="s">
        <v>150</v>
      </c>
    </row>
    <row r="20" spans="1:15" x14ac:dyDescent="0.3">
      <c r="A20" s="3" t="s">
        <v>162</v>
      </c>
      <c r="B20" s="11">
        <v>193.33333333333334</v>
      </c>
      <c r="C20" s="11">
        <v>150.16666666666666</v>
      </c>
      <c r="D20" s="11">
        <v>151.06666666666666</v>
      </c>
      <c r="E20" s="11">
        <v>161.76666666666668</v>
      </c>
      <c r="F20" s="11">
        <v>147.4</v>
      </c>
      <c r="G20" s="11">
        <v>159.36666666666667</v>
      </c>
      <c r="H20" s="11">
        <v>135.80000000000001</v>
      </c>
      <c r="I20" s="11">
        <v>151.79999999999998</v>
      </c>
      <c r="J20" s="11">
        <v>154.43333333333334</v>
      </c>
      <c r="K20" s="11">
        <v>114.56666666666666</v>
      </c>
      <c r="L20" s="11">
        <v>158.86666666666667</v>
      </c>
      <c r="M20" s="11">
        <v>153.33333333333334</v>
      </c>
      <c r="N20" s="11">
        <f t="shared" si="0"/>
        <v>152.65833333333333</v>
      </c>
      <c r="O20" s="3" t="s">
        <v>162</v>
      </c>
    </row>
    <row r="21" spans="1:15" x14ac:dyDescent="0.3">
      <c r="A21" s="3" t="s">
        <v>160</v>
      </c>
      <c r="B21" s="11">
        <v>193.33333333333334</v>
      </c>
      <c r="C21" s="11">
        <v>150.16666666666666</v>
      </c>
      <c r="D21" s="11">
        <v>151.06666666666666</v>
      </c>
      <c r="E21" s="11">
        <v>161.76666666666668</v>
      </c>
      <c r="F21" s="11">
        <v>147.4</v>
      </c>
      <c r="G21" s="11">
        <v>159.36666666666667</v>
      </c>
      <c r="H21" s="11">
        <v>135.80000000000001</v>
      </c>
      <c r="I21" s="11">
        <v>151.79999999999998</v>
      </c>
      <c r="J21" s="11">
        <v>154.43333333333334</v>
      </c>
      <c r="K21" s="11">
        <v>114.56666666666666</v>
      </c>
      <c r="L21" s="11">
        <v>158.86666666666667</v>
      </c>
      <c r="M21" s="11">
        <v>153.33333333333334</v>
      </c>
      <c r="N21" s="11">
        <f t="shared" si="0"/>
        <v>152.65833333333333</v>
      </c>
      <c r="O21" s="3" t="s">
        <v>160</v>
      </c>
    </row>
    <row r="22" spans="1:15" x14ac:dyDescent="0.3">
      <c r="A22" s="3" t="s">
        <v>152</v>
      </c>
      <c r="B22" s="11">
        <v>191.9666666666667</v>
      </c>
      <c r="C22" s="11">
        <v>149.36666666666667</v>
      </c>
      <c r="D22" s="11">
        <v>150.53333333333333</v>
      </c>
      <c r="E22" s="11">
        <v>162.36666666666667</v>
      </c>
      <c r="F22" s="11">
        <v>150.6</v>
      </c>
      <c r="G22" s="11">
        <v>160</v>
      </c>
      <c r="H22" s="11">
        <v>136.86666666666667</v>
      </c>
      <c r="I22" s="11">
        <v>151.23333333333335</v>
      </c>
      <c r="J22" s="11">
        <v>157.4</v>
      </c>
      <c r="K22" s="11">
        <v>115.36666666666666</v>
      </c>
      <c r="L22" s="11">
        <v>180.33333333333334</v>
      </c>
      <c r="M22" s="11">
        <v>153.33333333333334</v>
      </c>
      <c r="N22" s="11">
        <f t="shared" si="0"/>
        <v>154.94722222222222</v>
      </c>
      <c r="O22" s="3" t="s">
        <v>152</v>
      </c>
    </row>
    <row r="23" spans="1:15" x14ac:dyDescent="0.3">
      <c r="A23" s="3" t="s">
        <v>171</v>
      </c>
      <c r="B23" s="11">
        <v>188.03333333333333</v>
      </c>
      <c r="C23" s="11">
        <v>148.93333333333331</v>
      </c>
      <c r="D23" s="11">
        <v>149.96666666666667</v>
      </c>
      <c r="E23" s="11">
        <v>162.96666666666667</v>
      </c>
      <c r="F23" s="11">
        <v>151.1</v>
      </c>
      <c r="G23" s="11">
        <v>160.4</v>
      </c>
      <c r="H23" s="11">
        <v>137.66666666666666</v>
      </c>
      <c r="I23" s="11">
        <v>153.1</v>
      </c>
      <c r="J23" s="11">
        <v>158.46666666666667</v>
      </c>
      <c r="K23" s="11">
        <v>116.8</v>
      </c>
      <c r="L23" s="11">
        <v>189.16666666666666</v>
      </c>
      <c r="M23" s="11">
        <v>153.63333333333333</v>
      </c>
      <c r="N23" s="11">
        <f t="shared" si="0"/>
        <v>155.85277777777776</v>
      </c>
      <c r="O23" s="3" t="s">
        <v>171</v>
      </c>
    </row>
    <row r="24" spans="1:15" x14ac:dyDescent="0.3">
      <c r="A24" s="3" t="s">
        <v>169</v>
      </c>
      <c r="B24" s="11">
        <v>189.63333333333335</v>
      </c>
      <c r="C24" s="11">
        <v>148.03333333333333</v>
      </c>
      <c r="D24" s="11">
        <v>151.13333333333335</v>
      </c>
      <c r="E24" s="11">
        <v>163.29999999999998</v>
      </c>
      <c r="F24" s="11">
        <v>151.36666666666665</v>
      </c>
      <c r="G24" s="11">
        <v>161.06666666666669</v>
      </c>
      <c r="H24" s="11">
        <v>139.46666666666667</v>
      </c>
      <c r="I24" s="11">
        <v>161.80000000000001</v>
      </c>
      <c r="J24" s="11">
        <v>161.79999999999998</v>
      </c>
      <c r="K24" s="11">
        <v>116.53333333333335</v>
      </c>
      <c r="L24" s="11">
        <v>211.93333333333331</v>
      </c>
      <c r="M24" s="11">
        <v>153.63333333333333</v>
      </c>
      <c r="N24" s="11">
        <f t="shared" si="0"/>
        <v>159.14166666666665</v>
      </c>
      <c r="O24" s="3" t="s">
        <v>169</v>
      </c>
    </row>
    <row r="25" spans="1:15" x14ac:dyDescent="0.3">
      <c r="A25" s="3" t="s">
        <v>167</v>
      </c>
      <c r="B25" s="11">
        <v>191.70000000000002</v>
      </c>
      <c r="C25" s="11">
        <v>147.29999999999998</v>
      </c>
      <c r="D25" s="11">
        <v>157.13333333333333</v>
      </c>
      <c r="E25" s="11">
        <v>163.86666666666665</v>
      </c>
      <c r="F25" s="11">
        <v>148.46666666666667</v>
      </c>
      <c r="G25" s="11">
        <v>161.73333333333335</v>
      </c>
      <c r="H25" s="11">
        <v>142.03333333333333</v>
      </c>
      <c r="I25" s="11">
        <v>174.03333333333333</v>
      </c>
      <c r="J25" s="11">
        <v>165.03333333333333</v>
      </c>
      <c r="K25" s="11">
        <v>115.93333333333334</v>
      </c>
      <c r="L25" s="11">
        <v>232.5</v>
      </c>
      <c r="M25" s="11">
        <v>153.83333333333334</v>
      </c>
      <c r="N25" s="11">
        <f t="shared" si="0"/>
        <v>162.79722222222222</v>
      </c>
      <c r="O25" s="3" t="s">
        <v>167</v>
      </c>
    </row>
    <row r="26" spans="1:15" x14ac:dyDescent="0.3">
      <c r="A26" s="3" t="s">
        <v>154</v>
      </c>
      <c r="B26" s="11">
        <v>191.73333333333335</v>
      </c>
      <c r="C26" s="11">
        <v>146.53333333333333</v>
      </c>
      <c r="D26" s="11">
        <v>160.4</v>
      </c>
      <c r="E26" s="11">
        <v>164.83333333333334</v>
      </c>
      <c r="F26" s="11">
        <v>147.76666666666665</v>
      </c>
      <c r="G26" s="11">
        <v>162.79999999999998</v>
      </c>
      <c r="H26" s="11">
        <v>145.76666666666665</v>
      </c>
      <c r="I26" s="11">
        <v>175.66666666666666</v>
      </c>
      <c r="J26" s="11">
        <v>165.63333333333333</v>
      </c>
      <c r="K26" s="11">
        <v>115.59999999999998</v>
      </c>
      <c r="L26" s="11">
        <v>232.19999999999996</v>
      </c>
      <c r="M26" s="11">
        <v>154.1</v>
      </c>
      <c r="N26" s="11">
        <f t="shared" si="0"/>
        <v>163.58611111111108</v>
      </c>
      <c r="O26" s="3" t="s">
        <v>154</v>
      </c>
    </row>
    <row r="27" spans="1:15" x14ac:dyDescent="0.3">
      <c r="A27" s="3" t="s">
        <v>51</v>
      </c>
      <c r="B27" s="11">
        <v>171.3356060606061</v>
      </c>
      <c r="C27" s="11">
        <v>143.90303030303031</v>
      </c>
      <c r="D27" s="11">
        <v>138.94242424242427</v>
      </c>
      <c r="E27" s="11">
        <v>158.94545454545451</v>
      </c>
      <c r="F27" s="11">
        <v>146.04545454545453</v>
      </c>
      <c r="G27" s="11">
        <v>150.25757575757572</v>
      </c>
      <c r="H27" s="11">
        <v>129.40303030303028</v>
      </c>
      <c r="I27" s="11">
        <v>149.1212121212121</v>
      </c>
      <c r="J27" s="11">
        <v>150.72575757575757</v>
      </c>
      <c r="K27" s="11">
        <v>113.61363636363635</v>
      </c>
      <c r="L27" s="11">
        <v>176.50000000000003</v>
      </c>
      <c r="M27" s="11">
        <v>148.6409090909091</v>
      </c>
      <c r="N27" s="11">
        <f t="shared" si="0"/>
        <v>148.11950757575758</v>
      </c>
    </row>
    <row r="30" spans="1:15" x14ac:dyDescent="0.3">
      <c r="A30" s="3" t="s">
        <v>177</v>
      </c>
      <c r="B30" t="s">
        <v>178</v>
      </c>
      <c r="D30" t="s">
        <v>174</v>
      </c>
    </row>
    <row r="31" spans="1:15" x14ac:dyDescent="0.3">
      <c r="A31" s="3" t="s">
        <v>177</v>
      </c>
      <c r="B31" t="s">
        <v>179</v>
      </c>
      <c r="D31" s="36">
        <v>43891</v>
      </c>
      <c r="E31" s="11">
        <v>146.66111111111113</v>
      </c>
    </row>
    <row r="32" spans="1:15" x14ac:dyDescent="0.3">
      <c r="A32" s="36">
        <v>43497</v>
      </c>
      <c r="B32" s="27">
        <v>2.696083475683942E-3</v>
      </c>
      <c r="D32" s="36">
        <v>43922</v>
      </c>
      <c r="E32" s="11">
        <v>152.42638888888891</v>
      </c>
    </row>
    <row r="33" spans="1:11" x14ac:dyDescent="0.3">
      <c r="A33" s="36">
        <v>43525</v>
      </c>
      <c r="B33" s="27">
        <v>4.2898193760262208E-3</v>
      </c>
      <c r="D33" s="36">
        <v>43952</v>
      </c>
      <c r="E33" s="11">
        <v>152.65833333333333</v>
      </c>
      <c r="I33">
        <v>1857.8999999999999</v>
      </c>
    </row>
    <row r="34" spans="1:11" x14ac:dyDescent="0.3">
      <c r="A34" s="36">
        <v>43586</v>
      </c>
      <c r="B34" s="27">
        <v>1.8802755012364971E-2</v>
      </c>
      <c r="D34" s="36">
        <v>43983</v>
      </c>
      <c r="E34" s="11">
        <v>152.65833333333333</v>
      </c>
      <c r="I34">
        <v>142.9153846153846</v>
      </c>
    </row>
    <row r="35" spans="1:11" x14ac:dyDescent="0.3">
      <c r="A35" s="36">
        <v>43617</v>
      </c>
      <c r="B35" s="27">
        <v>1.3139681839153925E-2</v>
      </c>
      <c r="D35" s="36">
        <v>44013</v>
      </c>
      <c r="E35" s="11">
        <v>154.94722222222222</v>
      </c>
      <c r="I35" t="s">
        <v>175</v>
      </c>
      <c r="J35">
        <v>8.901203668817638E-2</v>
      </c>
      <c r="K35" t="s">
        <v>176</v>
      </c>
    </row>
    <row r="36" spans="1:11" x14ac:dyDescent="0.3">
      <c r="A36" s="36">
        <v>43647</v>
      </c>
      <c r="B36" s="27">
        <v>1.3602882939965344E-2</v>
      </c>
      <c r="D36" s="36">
        <v>44044</v>
      </c>
      <c r="E36" s="11">
        <v>155.85277777777776</v>
      </c>
    </row>
    <row r="37" spans="1:11" x14ac:dyDescent="0.3">
      <c r="A37" s="36">
        <v>43678</v>
      </c>
      <c r="B37" s="27">
        <v>5.4306421050576504E-3</v>
      </c>
      <c r="D37" s="36">
        <v>44075</v>
      </c>
      <c r="E37" s="11">
        <v>159.14166666666665</v>
      </c>
    </row>
    <row r="38" spans="1:11" x14ac:dyDescent="0.3">
      <c r="A38" s="36">
        <v>43709</v>
      </c>
      <c r="B38" s="27">
        <v>6.0036138257977606E-3</v>
      </c>
      <c r="D38" s="36">
        <v>44105</v>
      </c>
      <c r="E38" s="11">
        <v>162.79722222222222</v>
      </c>
    </row>
    <row r="39" spans="1:11" x14ac:dyDescent="0.3">
      <c r="A39" s="36">
        <v>43739</v>
      </c>
      <c r="B39" s="27">
        <v>1.6107227007609387E-2</v>
      </c>
      <c r="D39" s="36">
        <v>44136</v>
      </c>
      <c r="E39" s="11">
        <v>163.58611111111108</v>
      </c>
    </row>
    <row r="40" spans="1:11" x14ac:dyDescent="0.3">
      <c r="A40" s="36">
        <v>43770</v>
      </c>
      <c r="B40" s="27">
        <v>1.4027218125142828E-2</v>
      </c>
      <c r="E40" s="11">
        <f>SUM(E31:E39)</f>
        <v>1400.7291666666665</v>
      </c>
    </row>
    <row r="41" spans="1:11" x14ac:dyDescent="0.3">
      <c r="A41" s="36">
        <v>43800</v>
      </c>
      <c r="B41" s="27">
        <v>1.9287722586691567E-2</v>
      </c>
      <c r="E41">
        <f>E40/COUNT(E31:E39)</f>
        <v>155.63657407407405</v>
      </c>
    </row>
    <row r="42" spans="1:11" x14ac:dyDescent="0.3">
      <c r="A42" s="36">
        <v>43831</v>
      </c>
      <c r="B42" s="27">
        <v>-3.7514481693300471E-3</v>
      </c>
    </row>
    <row r="43" spans="1:11" x14ac:dyDescent="0.3">
      <c r="A43" s="36">
        <v>43862</v>
      </c>
      <c r="B43" s="27">
        <v>-1.6169820027688072E-2</v>
      </c>
    </row>
    <row r="44" spans="1:11" x14ac:dyDescent="0.3">
      <c r="A44" s="36">
        <v>43891</v>
      </c>
      <c r="B44" s="27">
        <v>-9.3998011219721678E-3</v>
      </c>
      <c r="E44" t="s">
        <v>175</v>
      </c>
      <c r="F44" s="27"/>
      <c r="G44" t="s">
        <v>176</v>
      </c>
    </row>
    <row r="45" spans="1:11" x14ac:dyDescent="0.3">
      <c r="A45" s="36">
        <v>43922</v>
      </c>
      <c r="B45" s="27">
        <v>3.9310201143982759E-2</v>
      </c>
    </row>
    <row r="46" spans="1:11" x14ac:dyDescent="0.3">
      <c r="A46" s="36">
        <v>43952</v>
      </c>
      <c r="B46" s="27">
        <v>1.5216816860596145E-3</v>
      </c>
    </row>
    <row r="47" spans="1:11" x14ac:dyDescent="0.3">
      <c r="A47" s="36">
        <v>43983</v>
      </c>
      <c r="B47" s="27">
        <v>0</v>
      </c>
    </row>
    <row r="48" spans="1:11" x14ac:dyDescent="0.3">
      <c r="A48" s="36">
        <v>44013</v>
      </c>
      <c r="B48" s="27">
        <v>1.4993540404316118E-2</v>
      </c>
    </row>
    <row r="49" spans="1:7" x14ac:dyDescent="0.3">
      <c r="A49" s="36">
        <v>44044</v>
      </c>
      <c r="B49" s="27">
        <v>5.8442838959501158E-3</v>
      </c>
    </row>
    <row r="50" spans="1:7" x14ac:dyDescent="0.3">
      <c r="A50" s="36">
        <v>44075</v>
      </c>
      <c r="B50" s="27">
        <v>2.1102536225426436E-2</v>
      </c>
    </row>
    <row r="51" spans="1:7" x14ac:dyDescent="0.3">
      <c r="A51" s="36">
        <v>44105</v>
      </c>
      <c r="B51" s="27">
        <v>2.2970449110680625E-2</v>
      </c>
    </row>
    <row r="52" spans="1:7" x14ac:dyDescent="0.3">
      <c r="A52" s="36">
        <v>44136</v>
      </c>
      <c r="B52" s="27">
        <v>4.8458375279401894E-3</v>
      </c>
    </row>
    <row r="56" spans="1:7" x14ac:dyDescent="0.3">
      <c r="B56" s="2" t="s">
        <v>2</v>
      </c>
      <c r="C56" t="s">
        <v>149</v>
      </c>
    </row>
    <row r="57" spans="1:7" x14ac:dyDescent="0.3">
      <c r="B57" s="2" t="s">
        <v>1</v>
      </c>
      <c r="C57" t="s">
        <v>103</v>
      </c>
    </row>
    <row r="58" spans="1:7" x14ac:dyDescent="0.3">
      <c r="D58" s="3"/>
      <c r="E58" s="11">
        <v>144.16666666666666</v>
      </c>
      <c r="F58" s="3" t="s">
        <v>164</v>
      </c>
      <c r="G58" s="11">
        <v>151.33333333333334</v>
      </c>
    </row>
    <row r="59" spans="1:7" x14ac:dyDescent="0.3">
      <c r="B59" s="2" t="s">
        <v>50</v>
      </c>
      <c r="C59" t="s">
        <v>180</v>
      </c>
      <c r="D59" s="3"/>
      <c r="E59" s="11">
        <v>144.66666666666666</v>
      </c>
      <c r="F59" s="3" t="s">
        <v>150</v>
      </c>
      <c r="G59" s="11">
        <v>149.93333333333334</v>
      </c>
    </row>
    <row r="60" spans="1:7" x14ac:dyDescent="0.3">
      <c r="B60" s="3" t="s">
        <v>157</v>
      </c>
      <c r="C60" s="11">
        <v>144.16666666666666</v>
      </c>
      <c r="D60" s="3"/>
      <c r="E60" s="11">
        <v>145.26666666666665</v>
      </c>
      <c r="F60" s="3" t="s">
        <v>162</v>
      </c>
      <c r="G60" s="11">
        <v>153.56666666666666</v>
      </c>
    </row>
    <row r="61" spans="1:7" x14ac:dyDescent="0.3">
      <c r="B61" s="3" t="s">
        <v>155</v>
      </c>
      <c r="C61" s="11">
        <v>144.66666666666666</v>
      </c>
      <c r="D61" s="36">
        <v>43497</v>
      </c>
      <c r="E61" s="27">
        <v>3.4682080924855496E-3</v>
      </c>
      <c r="F61" s="3" t="s">
        <v>160</v>
      </c>
      <c r="G61" s="11">
        <v>153.56666666666666</v>
      </c>
    </row>
    <row r="62" spans="1:7" x14ac:dyDescent="0.3">
      <c r="B62" s="3" t="s">
        <v>163</v>
      </c>
      <c r="C62" s="11">
        <v>145.26666666666665</v>
      </c>
      <c r="D62" s="36">
        <v>43525</v>
      </c>
      <c r="E62" s="27">
        <v>4.1474654377879798E-3</v>
      </c>
      <c r="F62" s="3" t="s">
        <v>152</v>
      </c>
      <c r="G62" s="11">
        <v>154.16666666666666</v>
      </c>
    </row>
    <row r="63" spans="1:7" x14ac:dyDescent="0.3">
      <c r="B63" s="3" t="s">
        <v>165</v>
      </c>
      <c r="C63" s="11">
        <v>146.00000000000003</v>
      </c>
      <c r="D63" s="36">
        <v>43586</v>
      </c>
      <c r="E63" s="27">
        <v>5.048187241854362E-3</v>
      </c>
      <c r="F63" s="3" t="s">
        <v>171</v>
      </c>
      <c r="G63" s="11">
        <v>154.9</v>
      </c>
    </row>
    <row r="64" spans="1:7" x14ac:dyDescent="0.3">
      <c r="B64" s="3" t="s">
        <v>161</v>
      </c>
      <c r="C64" s="11">
        <v>146.46666666666667</v>
      </c>
      <c r="D64" s="36">
        <v>43617</v>
      </c>
      <c r="E64" s="27">
        <v>3.1963470319632879E-3</v>
      </c>
      <c r="F64" s="3" t="s">
        <v>169</v>
      </c>
      <c r="G64" s="11">
        <v>155.6</v>
      </c>
    </row>
    <row r="65" spans="2:7" x14ac:dyDescent="0.3">
      <c r="B65" s="3" t="s">
        <v>159</v>
      </c>
      <c r="C65" s="11">
        <v>146.96666666666667</v>
      </c>
      <c r="D65" s="36">
        <v>43647</v>
      </c>
      <c r="E65" s="27">
        <v>3.4137460172963133E-3</v>
      </c>
      <c r="F65" s="3" t="s">
        <v>167</v>
      </c>
      <c r="G65" s="11">
        <v>156.53333333333333</v>
      </c>
    </row>
    <row r="66" spans="2:7" x14ac:dyDescent="0.3">
      <c r="B66" s="3" t="s">
        <v>151</v>
      </c>
      <c r="C66" s="11">
        <v>147.56666666666666</v>
      </c>
      <c r="D66" s="36">
        <v>43678</v>
      </c>
      <c r="E66" s="27">
        <v>4.0825584032660083E-3</v>
      </c>
      <c r="F66" s="3" t="s">
        <v>154</v>
      </c>
      <c r="G66" s="11">
        <v>157.60000000000002</v>
      </c>
    </row>
    <row r="67" spans="2:7" x14ac:dyDescent="0.3">
      <c r="B67" s="3" t="s">
        <v>170</v>
      </c>
      <c r="C67" s="11">
        <v>148.1</v>
      </c>
      <c r="D67" s="36">
        <v>43709</v>
      </c>
      <c r="E67" s="27">
        <v>3.6141856787892351E-3</v>
      </c>
    </row>
    <row r="68" spans="2:7" x14ac:dyDescent="0.3">
      <c r="B68" s="3" t="s">
        <v>168</v>
      </c>
      <c r="C68" s="11">
        <v>148.5</v>
      </c>
      <c r="D68" s="36">
        <v>43739</v>
      </c>
      <c r="E68" s="27">
        <v>2.7008777852802544E-3</v>
      </c>
    </row>
    <row r="69" spans="2:7" x14ac:dyDescent="0.3">
      <c r="B69" s="3" t="s">
        <v>166</v>
      </c>
      <c r="C69" s="11">
        <v>149.00000000000003</v>
      </c>
      <c r="D69" s="36">
        <v>43770</v>
      </c>
      <c r="E69" s="27">
        <v>3.3670033670035585E-3</v>
      </c>
    </row>
    <row r="70" spans="2:7" x14ac:dyDescent="0.3">
      <c r="B70" s="3" t="s">
        <v>153</v>
      </c>
      <c r="C70" s="11">
        <v>149.46666666666667</v>
      </c>
      <c r="D70" s="36">
        <v>43800</v>
      </c>
      <c r="E70" s="27">
        <v>3.1319910514539602E-3</v>
      </c>
    </row>
    <row r="71" spans="2:7" x14ac:dyDescent="0.3">
      <c r="B71" s="3" t="s">
        <v>158</v>
      </c>
      <c r="C71" s="11">
        <v>150.23333333333332</v>
      </c>
      <c r="D71" s="36">
        <v>43831</v>
      </c>
      <c r="E71" s="27">
        <v>5.1293487957180077E-3</v>
      </c>
    </row>
    <row r="72" spans="2:7" x14ac:dyDescent="0.3">
      <c r="B72" s="3" t="s">
        <v>156</v>
      </c>
      <c r="C72" s="11">
        <v>150.76666666666668</v>
      </c>
      <c r="D72" s="36">
        <v>43862</v>
      </c>
      <c r="E72" s="27">
        <v>3.5500332815621917E-3</v>
      </c>
    </row>
    <row r="73" spans="2:7" x14ac:dyDescent="0.3">
      <c r="B73" s="3" t="s">
        <v>164</v>
      </c>
      <c r="C73" s="11">
        <v>151.33333333333334</v>
      </c>
      <c r="D73" s="36">
        <v>43891</v>
      </c>
      <c r="E73" s="27">
        <v>3.7585673225734879E-3</v>
      </c>
    </row>
    <row r="74" spans="2:7" x14ac:dyDescent="0.3">
      <c r="B74" s="3" t="s">
        <v>150</v>
      </c>
      <c r="C74" s="11">
        <v>149.93333333333334</v>
      </c>
      <c r="D74" s="36">
        <v>43922</v>
      </c>
      <c r="E74" s="27">
        <v>-9.2511013215859396E-3</v>
      </c>
    </row>
    <row r="75" spans="2:7" x14ac:dyDescent="0.3">
      <c r="B75" s="3" t="s">
        <v>162</v>
      </c>
      <c r="C75" s="11">
        <v>153.56666666666666</v>
      </c>
      <c r="D75" s="36">
        <v>43952</v>
      </c>
      <c r="E75" s="27">
        <v>2.4232992441084875E-2</v>
      </c>
    </row>
    <row r="76" spans="2:7" x14ac:dyDescent="0.3">
      <c r="B76" s="3" t="s">
        <v>160</v>
      </c>
      <c r="C76" s="11">
        <v>153.56666666666666</v>
      </c>
      <c r="D76" s="36">
        <v>43983</v>
      </c>
      <c r="E76" s="27">
        <v>0</v>
      </c>
    </row>
    <row r="77" spans="2:7" x14ac:dyDescent="0.3">
      <c r="B77" s="3" t="s">
        <v>152</v>
      </c>
      <c r="C77" s="11">
        <v>154.16666666666666</v>
      </c>
      <c r="D77" s="36">
        <v>44013</v>
      </c>
      <c r="E77" s="27">
        <v>3.9070978945083198E-3</v>
      </c>
    </row>
    <row r="78" spans="2:7" x14ac:dyDescent="0.3">
      <c r="B78" s="3" t="s">
        <v>171</v>
      </c>
      <c r="C78" s="11">
        <v>154.9</v>
      </c>
      <c r="D78" s="36">
        <v>44044</v>
      </c>
      <c r="E78" s="27">
        <v>4.7567567567568551E-3</v>
      </c>
    </row>
    <row r="79" spans="2:7" x14ac:dyDescent="0.3">
      <c r="B79" s="3" t="s">
        <v>169</v>
      </c>
      <c r="C79" s="11">
        <v>155.6</v>
      </c>
      <c r="D79" s="36">
        <v>44075</v>
      </c>
      <c r="E79" s="27">
        <v>4.5190445448675832E-3</v>
      </c>
    </row>
    <row r="80" spans="2:7" x14ac:dyDescent="0.3">
      <c r="B80" s="3" t="s">
        <v>167</v>
      </c>
      <c r="C80" s="11">
        <v>156.53333333333333</v>
      </c>
      <c r="D80" s="36">
        <v>44105</v>
      </c>
      <c r="E80" s="27">
        <v>5.9982862039417552E-3</v>
      </c>
    </row>
    <row r="81" spans="2:6" x14ac:dyDescent="0.3">
      <c r="B81" s="3" t="s">
        <v>154</v>
      </c>
      <c r="C81" s="11">
        <v>157.60000000000002</v>
      </c>
      <c r="D81" s="36">
        <v>44136</v>
      </c>
      <c r="E81" s="27">
        <v>6.8143100511074825E-3</v>
      </c>
    </row>
    <row r="82" spans="2:6" x14ac:dyDescent="0.3">
      <c r="B82" s="3" t="s">
        <v>51</v>
      </c>
      <c r="C82" s="11">
        <v>150.19848484848484</v>
      </c>
      <c r="D82" s="38"/>
    </row>
    <row r="87" spans="2:6" x14ac:dyDescent="0.3">
      <c r="B87" s="2" t="s">
        <v>2</v>
      </c>
      <c r="C87" t="s">
        <v>149</v>
      </c>
    </row>
    <row r="88" spans="2:6" x14ac:dyDescent="0.3">
      <c r="B88" s="2" t="s">
        <v>1</v>
      </c>
      <c r="C88" t="s">
        <v>103</v>
      </c>
    </row>
    <row r="90" spans="2:6" x14ac:dyDescent="0.3">
      <c r="B90" s="2" t="s">
        <v>50</v>
      </c>
      <c r="C90" t="s">
        <v>181</v>
      </c>
      <c r="D90" t="s">
        <v>182</v>
      </c>
    </row>
    <row r="91" spans="2:6" x14ac:dyDescent="0.3">
      <c r="B91" s="3" t="s">
        <v>157</v>
      </c>
      <c r="C91" s="11">
        <v>138.1</v>
      </c>
      <c r="D91" s="11">
        <v>123.5</v>
      </c>
      <c r="E91" s="11"/>
    </row>
    <row r="92" spans="2:6" x14ac:dyDescent="0.3">
      <c r="B92" s="3" t="s">
        <v>155</v>
      </c>
      <c r="C92" s="11">
        <v>136.93333333333334</v>
      </c>
      <c r="D92" s="11">
        <v>124.10000000000001</v>
      </c>
      <c r="E92" s="36">
        <v>43497</v>
      </c>
      <c r="F92" s="27">
        <f>(AVERAGE(C92:D92)-AVERAGE(C91:D91))/AVERAGE(C91:D91)</f>
        <v>-2.1661569826707293E-3</v>
      </c>
    </row>
    <row r="93" spans="2:6" x14ac:dyDescent="0.3">
      <c r="B93" s="3" t="s">
        <v>163</v>
      </c>
      <c r="C93" s="11">
        <v>138.29999999999998</v>
      </c>
      <c r="D93" s="11">
        <v>124.8</v>
      </c>
      <c r="E93" s="36">
        <v>43525</v>
      </c>
      <c r="F93" s="27">
        <f t="shared" ref="F93:F113" si="1">(AVERAGE(C93:D93)-AVERAGE(C92:D92))/AVERAGE(C92:D92)</f>
        <v>7.9172519473883502E-3</v>
      </c>
    </row>
    <row r="94" spans="2:6" x14ac:dyDescent="0.3">
      <c r="B94" s="3" t="s">
        <v>165</v>
      </c>
      <c r="C94" s="11">
        <v>138.86666666666667</v>
      </c>
      <c r="D94" s="11">
        <v>125.06666666666666</v>
      </c>
      <c r="E94" s="36">
        <v>43586</v>
      </c>
      <c r="F94" s="27">
        <f t="shared" si="1"/>
        <v>3.1673634866338706E-3</v>
      </c>
    </row>
    <row r="95" spans="2:6" x14ac:dyDescent="0.3">
      <c r="B95" s="3" t="s">
        <v>161</v>
      </c>
      <c r="C95" s="11">
        <v>139.83333333333334</v>
      </c>
      <c r="D95" s="11">
        <v>124.8</v>
      </c>
      <c r="E95" s="36">
        <v>43617</v>
      </c>
      <c r="F95" s="27">
        <f t="shared" si="1"/>
        <v>2.6521848951755063E-3</v>
      </c>
    </row>
    <row r="96" spans="2:6" x14ac:dyDescent="0.3">
      <c r="B96" s="3" t="s">
        <v>159</v>
      </c>
      <c r="C96" s="11">
        <v>137.70000000000002</v>
      </c>
      <c r="D96" s="11">
        <v>125.8</v>
      </c>
      <c r="E96" s="36">
        <v>43647</v>
      </c>
      <c r="F96" s="27">
        <f t="shared" si="1"/>
        <v>-4.2826552462526483E-3</v>
      </c>
    </row>
    <row r="97" spans="2:6" x14ac:dyDescent="0.3">
      <c r="B97" s="3" t="s">
        <v>151</v>
      </c>
      <c r="C97" s="11">
        <v>136.79999999999998</v>
      </c>
      <c r="D97" s="11">
        <v>126</v>
      </c>
      <c r="E97" s="36">
        <v>43678</v>
      </c>
      <c r="F97" s="27">
        <f t="shared" si="1"/>
        <v>-2.6565464895637399E-3</v>
      </c>
    </row>
    <row r="98" spans="2:6" x14ac:dyDescent="0.3">
      <c r="B98" s="3" t="s">
        <v>170</v>
      </c>
      <c r="C98" s="11">
        <v>137.56666666666663</v>
      </c>
      <c r="D98" s="11">
        <v>126.3</v>
      </c>
      <c r="E98" s="36">
        <v>43709</v>
      </c>
      <c r="F98" s="27">
        <f t="shared" si="1"/>
        <v>4.058853373921853E-3</v>
      </c>
    </row>
    <row r="99" spans="2:6" x14ac:dyDescent="0.3">
      <c r="B99" s="3" t="s">
        <v>168</v>
      </c>
      <c r="C99" s="11">
        <v>139.06666666666666</v>
      </c>
      <c r="D99" s="11">
        <v>126.5</v>
      </c>
      <c r="E99" s="36">
        <v>43739</v>
      </c>
      <c r="F99" s="27">
        <f t="shared" si="1"/>
        <v>6.442647801920335E-3</v>
      </c>
    </row>
    <row r="100" spans="2:6" x14ac:dyDescent="0.3">
      <c r="B100" s="3" t="s">
        <v>166</v>
      </c>
      <c r="C100" s="11">
        <v>140.96666666666667</v>
      </c>
      <c r="D100" s="11">
        <v>126.8</v>
      </c>
      <c r="E100" s="36">
        <v>43770</v>
      </c>
      <c r="F100" s="27">
        <f t="shared" si="1"/>
        <v>8.2841722103677243E-3</v>
      </c>
    </row>
    <row r="101" spans="2:6" x14ac:dyDescent="0.3">
      <c r="B101" s="3" t="s">
        <v>153</v>
      </c>
      <c r="C101" s="11">
        <v>142.39999999999998</v>
      </c>
      <c r="D101" s="11">
        <v>130</v>
      </c>
      <c r="E101" s="36">
        <v>43800</v>
      </c>
      <c r="F101" s="27">
        <f t="shared" si="1"/>
        <v>1.7303622556952544E-2</v>
      </c>
    </row>
    <row r="102" spans="2:6" x14ac:dyDescent="0.3">
      <c r="B102" s="3" t="s">
        <v>158</v>
      </c>
      <c r="C102" s="11">
        <v>143.36666666666667</v>
      </c>
      <c r="D102" s="11">
        <v>131.1</v>
      </c>
      <c r="E102" s="36">
        <v>43831</v>
      </c>
      <c r="F102" s="27">
        <f t="shared" si="1"/>
        <v>7.5868820362214387E-3</v>
      </c>
    </row>
    <row r="103" spans="2:6" x14ac:dyDescent="0.3">
      <c r="B103" s="3" t="s">
        <v>156</v>
      </c>
      <c r="C103" s="11">
        <v>146.13333333333335</v>
      </c>
      <c r="D103" s="11">
        <v>130.5</v>
      </c>
      <c r="E103" s="36">
        <v>43862</v>
      </c>
      <c r="F103" s="27">
        <f t="shared" si="1"/>
        <v>7.8940976439153335E-3</v>
      </c>
    </row>
    <row r="104" spans="2:6" x14ac:dyDescent="0.3">
      <c r="B104" s="3" t="s">
        <v>164</v>
      </c>
      <c r="C104" s="11">
        <v>147.9</v>
      </c>
      <c r="D104" s="11">
        <v>130.1</v>
      </c>
      <c r="E104" s="36">
        <v>43891</v>
      </c>
      <c r="F104" s="27">
        <f t="shared" si="1"/>
        <v>4.9403542595493708E-3</v>
      </c>
    </row>
    <row r="105" spans="2:6" x14ac:dyDescent="0.3">
      <c r="B105" s="3" t="s">
        <v>150</v>
      </c>
      <c r="C105" s="11">
        <v>143.20000000000002</v>
      </c>
      <c r="D105" s="11">
        <v>132.66666666666666</v>
      </c>
      <c r="E105" s="36">
        <v>43922</v>
      </c>
      <c r="F105" s="27">
        <f t="shared" si="1"/>
        <v>-7.6738609112709556E-3</v>
      </c>
    </row>
    <row r="106" spans="2:6" x14ac:dyDescent="0.3">
      <c r="B106" s="3" t="s">
        <v>162</v>
      </c>
      <c r="C106" s="11">
        <v>141.29999999999998</v>
      </c>
      <c r="D106" s="11">
        <v>135.23333333333335</v>
      </c>
      <c r="E106" s="36">
        <v>43952</v>
      </c>
      <c r="F106" s="27">
        <f t="shared" si="1"/>
        <v>2.4166263895600364E-3</v>
      </c>
    </row>
    <row r="107" spans="2:6" x14ac:dyDescent="0.3">
      <c r="B107" s="3" t="s">
        <v>160</v>
      </c>
      <c r="C107" s="11">
        <v>141.29999999999998</v>
      </c>
      <c r="D107" s="11">
        <v>135.23333333333335</v>
      </c>
      <c r="E107" s="36">
        <v>43983</v>
      </c>
      <c r="F107" s="27">
        <f t="shared" si="1"/>
        <v>0</v>
      </c>
    </row>
    <row r="108" spans="2:6" x14ac:dyDescent="0.3">
      <c r="B108" s="3" t="s">
        <v>152</v>
      </c>
      <c r="C108" s="11">
        <v>142.36666666666667</v>
      </c>
      <c r="D108" s="11">
        <v>138.66666666666666</v>
      </c>
      <c r="E108" s="36">
        <v>44013</v>
      </c>
      <c r="F108" s="27">
        <f t="shared" si="1"/>
        <v>1.6272902603664419E-2</v>
      </c>
    </row>
    <row r="109" spans="2:6" x14ac:dyDescent="0.3">
      <c r="B109" s="3" t="s">
        <v>171</v>
      </c>
      <c r="C109" s="11">
        <v>142.16666666666666</v>
      </c>
      <c r="D109" s="11">
        <v>139.76666666666665</v>
      </c>
      <c r="E109" s="36">
        <v>44044</v>
      </c>
      <c r="F109" s="27">
        <f t="shared" si="1"/>
        <v>3.2024670857548716E-3</v>
      </c>
    </row>
    <row r="110" spans="2:6" x14ac:dyDescent="0.3">
      <c r="B110" s="3" t="s">
        <v>169</v>
      </c>
      <c r="C110" s="11">
        <v>142.33333333333334</v>
      </c>
      <c r="D110" s="11">
        <v>140.79999999999998</v>
      </c>
      <c r="E110" s="36">
        <v>44075</v>
      </c>
      <c r="F110" s="27">
        <f>(AVERAGE(C110:D110)-AVERAGE(C109:D109))/AVERAGE(C109:D109)</f>
        <v>4.2563253724286322E-3</v>
      </c>
    </row>
    <row r="111" spans="2:6" x14ac:dyDescent="0.3">
      <c r="B111" s="3" t="s">
        <v>167</v>
      </c>
      <c r="C111" s="11">
        <v>142.79999999999998</v>
      </c>
      <c r="D111" s="11">
        <v>140.56666666666669</v>
      </c>
      <c r="E111" s="36">
        <v>44105</v>
      </c>
      <c r="F111" s="27">
        <f>(AVERAGE(C111:D111)-AVERAGE(C110:D110))/AVERAGE(C110:D110)</f>
        <v>8.2411113727342297E-4</v>
      </c>
    </row>
    <row r="112" spans="2:6" x14ac:dyDescent="0.3">
      <c r="B112" s="3" t="s">
        <v>154</v>
      </c>
      <c r="C112" s="11">
        <v>143.73333333333332</v>
      </c>
      <c r="D112" s="11">
        <v>140.86666666666667</v>
      </c>
      <c r="E112" s="36">
        <v>44136</v>
      </c>
      <c r="F112" s="27">
        <f>(AVERAGE(C112:D112)-AVERAGE(C111:D111))/AVERAGE(C111:D111)</f>
        <v>4.3524291259852315E-3</v>
      </c>
    </row>
    <row r="113" spans="2:6" x14ac:dyDescent="0.3">
      <c r="B113" s="3" t="s">
        <v>51</v>
      </c>
      <c r="C113" s="11">
        <v>141.0515151515151</v>
      </c>
      <c r="D113" s="11">
        <v>130.87121212121212</v>
      </c>
      <c r="E113" s="11"/>
      <c r="F113" s="27">
        <f t="shared" si="1"/>
        <v>-4.4544176835111707E-2</v>
      </c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9B43-43B2-4E38-A193-38A210E26660}">
  <dimension ref="B7:J63"/>
  <sheetViews>
    <sheetView zoomScale="31" zoomScaleNormal="42" workbookViewId="0">
      <selection activeCell="G25" sqref="G25"/>
    </sheetView>
  </sheetViews>
  <sheetFormatPr defaultRowHeight="14.4" x14ac:dyDescent="0.3"/>
  <cols>
    <col min="2" max="2" width="24" customWidth="1"/>
    <col min="4" max="4" width="24.88671875" customWidth="1"/>
    <col min="5" max="5" width="13.5546875" bestFit="1" customWidth="1"/>
    <col min="6" max="6" width="22.6640625" bestFit="1" customWidth="1"/>
    <col min="7" max="7" width="32.88671875" bestFit="1" customWidth="1"/>
    <col min="8" max="8" width="37.77734375" bestFit="1" customWidth="1"/>
    <col min="9" max="9" width="16.44140625" bestFit="1" customWidth="1"/>
    <col min="10" max="10" width="28.77734375" bestFit="1" customWidth="1"/>
    <col min="11" max="11" width="19.6640625" bestFit="1" customWidth="1"/>
    <col min="12" max="12" width="20.21875" bestFit="1" customWidth="1"/>
    <col min="13" max="16" width="26.6640625" bestFit="1" customWidth="1"/>
    <col min="17" max="17" width="25.88671875" bestFit="1" customWidth="1"/>
  </cols>
  <sheetData>
    <row r="7" spans="2:10" ht="15" thickBot="1" x14ac:dyDescent="0.35">
      <c r="J7" s="43"/>
    </row>
    <row r="8" spans="2:10" x14ac:dyDescent="0.3">
      <c r="B8" t="s">
        <v>2</v>
      </c>
      <c r="C8" t="s">
        <v>193</v>
      </c>
      <c r="D8" t="s">
        <v>21</v>
      </c>
      <c r="E8" t="s">
        <v>27</v>
      </c>
      <c r="F8" t="s">
        <v>24</v>
      </c>
      <c r="G8" t="s">
        <v>23</v>
      </c>
      <c r="H8" t="s">
        <v>15</v>
      </c>
      <c r="I8" t="s">
        <v>26</v>
      </c>
      <c r="J8" t="s">
        <v>283</v>
      </c>
    </row>
    <row r="9" spans="2:10" x14ac:dyDescent="0.3">
      <c r="B9" s="37">
        <v>44197</v>
      </c>
      <c r="C9" s="11">
        <v>52.16</v>
      </c>
      <c r="D9" s="11">
        <v>147.23333333333335</v>
      </c>
      <c r="E9" s="11">
        <v>156.9</v>
      </c>
      <c r="F9" s="11">
        <v>142.1</v>
      </c>
      <c r="G9" s="11">
        <v>158.63333333333333</v>
      </c>
      <c r="H9" s="11">
        <v>161.33333333333334</v>
      </c>
      <c r="I9" s="11">
        <v>159.6</v>
      </c>
      <c r="J9" s="11"/>
    </row>
    <row r="10" spans="2:10" x14ac:dyDescent="0.3">
      <c r="B10" s="37">
        <v>44228</v>
      </c>
      <c r="C10" s="11">
        <v>61.55</v>
      </c>
      <c r="D10" s="11">
        <v>151.96666666666667</v>
      </c>
      <c r="E10" s="11">
        <v>155.9</v>
      </c>
      <c r="F10" s="11">
        <v>145.26666666666668</v>
      </c>
      <c r="G10" s="11">
        <v>160.63333333333335</v>
      </c>
      <c r="H10" s="11">
        <v>157.46666666666667</v>
      </c>
      <c r="I10" s="11">
        <v>159.9</v>
      </c>
      <c r="J10" s="11"/>
    </row>
    <row r="11" spans="2:10" x14ac:dyDescent="0.3">
      <c r="B11" s="37">
        <v>44256</v>
      </c>
      <c r="C11" s="11">
        <v>59.19</v>
      </c>
      <c r="D11" s="11">
        <v>155.43333333333334</v>
      </c>
      <c r="E11" s="11">
        <v>153.93333333333337</v>
      </c>
      <c r="F11" s="11">
        <v>146.4</v>
      </c>
      <c r="G11" s="11">
        <v>161.06666666666669</v>
      </c>
      <c r="H11" s="11">
        <v>157.20000000000002</v>
      </c>
      <c r="I11" s="11">
        <v>160.53333333333333</v>
      </c>
      <c r="J11" s="11"/>
    </row>
    <row r="12" spans="2:10" x14ac:dyDescent="0.3">
      <c r="B12" s="37">
        <v>44287</v>
      </c>
      <c r="C12" s="11">
        <v>63.5</v>
      </c>
      <c r="D12" s="11">
        <v>155.5</v>
      </c>
      <c r="E12" s="11">
        <v>155.53333333333333</v>
      </c>
      <c r="F12" s="11">
        <v>146.79999999999998</v>
      </c>
      <c r="G12" s="11">
        <v>161.70000000000002</v>
      </c>
      <c r="H12" s="11">
        <v>158.53333333333333</v>
      </c>
      <c r="I12" s="11">
        <v>160.66666666666666</v>
      </c>
      <c r="J12" s="11"/>
    </row>
    <row r="13" spans="2:10" x14ac:dyDescent="0.3">
      <c r="B13" s="37">
        <v>44317</v>
      </c>
      <c r="C13" s="11">
        <v>66.31</v>
      </c>
      <c r="D13" s="11">
        <v>158.86666666666665</v>
      </c>
      <c r="E13" s="11">
        <v>158.46666666666667</v>
      </c>
      <c r="F13" s="11">
        <v>149.03333333333333</v>
      </c>
      <c r="G13" s="11">
        <v>165.10000000000002</v>
      </c>
      <c r="H13" s="11">
        <v>161.19999999999999</v>
      </c>
      <c r="I13" s="11">
        <v>161.79999999999998</v>
      </c>
      <c r="J13" s="11"/>
    </row>
    <row r="14" spans="2:10" x14ac:dyDescent="0.3">
      <c r="B14" s="37">
        <v>44348</v>
      </c>
      <c r="C14" s="11">
        <v>73.52</v>
      </c>
      <c r="D14" s="11">
        <v>159.33333333333334</v>
      </c>
      <c r="E14" s="11">
        <v>158.73333333333335</v>
      </c>
      <c r="F14" s="11">
        <v>150.79999999999998</v>
      </c>
      <c r="G14" s="11">
        <v>165.6</v>
      </c>
      <c r="H14" s="11">
        <v>163.1</v>
      </c>
      <c r="I14" s="11">
        <v>162.19999999999999</v>
      </c>
      <c r="J14" s="11"/>
    </row>
    <row r="15" spans="2:10" x14ac:dyDescent="0.3">
      <c r="B15" s="37">
        <v>44378</v>
      </c>
      <c r="C15" s="11">
        <v>73.930000000000007</v>
      </c>
      <c r="D15" s="11">
        <v>160.29999999999998</v>
      </c>
      <c r="E15" s="11">
        <v>160.03333333333333</v>
      </c>
      <c r="F15" s="11">
        <v>153.23333333333335</v>
      </c>
      <c r="G15" s="11">
        <v>166.29999999999998</v>
      </c>
      <c r="H15" s="11">
        <v>164.53333333333333</v>
      </c>
      <c r="I15" s="11">
        <v>163.56666666666666</v>
      </c>
      <c r="J15" s="11"/>
    </row>
    <row r="16" spans="2:10" x14ac:dyDescent="0.3">
      <c r="B16" s="37">
        <v>44409</v>
      </c>
      <c r="C16" s="11">
        <v>68.430000000000007</v>
      </c>
      <c r="D16" s="11">
        <v>162.13333333333333</v>
      </c>
      <c r="E16" s="11">
        <v>159.96666666666667</v>
      </c>
      <c r="F16" s="11">
        <v>154.03333333333333</v>
      </c>
      <c r="G16" s="11">
        <v>167.43333333333337</v>
      </c>
      <c r="H16" s="11">
        <v>164.36666666666667</v>
      </c>
      <c r="I16" s="11">
        <v>163.9</v>
      </c>
      <c r="J16" s="11"/>
    </row>
    <row r="17" spans="2:10" x14ac:dyDescent="0.3">
      <c r="B17" s="37">
        <v>44440</v>
      </c>
      <c r="C17" s="11">
        <v>75.22</v>
      </c>
      <c r="D17" s="11">
        <v>162.36666666666665</v>
      </c>
      <c r="E17" s="11">
        <v>159.93333333333334</v>
      </c>
      <c r="F17" s="11">
        <v>154.1</v>
      </c>
      <c r="G17" s="11">
        <v>167.70000000000002</v>
      </c>
      <c r="H17" s="11">
        <v>164.46666666666667</v>
      </c>
      <c r="I17" s="11">
        <v>164.16666666666666</v>
      </c>
      <c r="J17" s="11"/>
    </row>
    <row r="18" spans="2:10" x14ac:dyDescent="0.3">
      <c r="B18" s="37">
        <v>44470</v>
      </c>
      <c r="C18" s="11">
        <v>83.5</v>
      </c>
      <c r="D18" s="11">
        <v>163.96666666666667</v>
      </c>
      <c r="E18" s="11">
        <v>160.73333333333335</v>
      </c>
      <c r="F18" s="11">
        <v>155.79999999999998</v>
      </c>
      <c r="G18" s="11">
        <v>168.36666666666667</v>
      </c>
      <c r="H18" s="11">
        <v>168.23333333333332</v>
      </c>
      <c r="I18" s="11">
        <v>164.4</v>
      </c>
      <c r="J18" s="11"/>
    </row>
    <row r="19" spans="2:10" x14ac:dyDescent="0.3">
      <c r="B19" s="37">
        <v>44501</v>
      </c>
      <c r="C19" s="11">
        <v>66.14</v>
      </c>
      <c r="D19" s="11">
        <v>163.6</v>
      </c>
      <c r="E19" s="11">
        <v>162.13333333333333</v>
      </c>
      <c r="F19" s="11">
        <v>154.96666666666667</v>
      </c>
      <c r="G19" s="11">
        <v>169.16666666666666</v>
      </c>
      <c r="H19" s="11">
        <v>170.23333333333332</v>
      </c>
      <c r="I19" s="11">
        <v>164.8</v>
      </c>
      <c r="J19" s="11"/>
    </row>
    <row r="20" spans="2:10" x14ac:dyDescent="0.3">
      <c r="B20" s="37">
        <v>44531</v>
      </c>
      <c r="C20" s="11">
        <v>75.33</v>
      </c>
      <c r="D20" s="11">
        <v>163.79999999999998</v>
      </c>
      <c r="E20" s="11">
        <v>162.6</v>
      </c>
      <c r="F20" s="11">
        <v>155.86666666666667</v>
      </c>
      <c r="G20" s="11">
        <v>169.9</v>
      </c>
      <c r="H20" s="11">
        <v>168.73333333333332</v>
      </c>
      <c r="I20" s="11">
        <v>164.9</v>
      </c>
      <c r="J20" s="11"/>
    </row>
    <row r="21" spans="2:10" x14ac:dyDescent="0.3">
      <c r="B21" s="37">
        <v>44562</v>
      </c>
      <c r="C21" s="11">
        <v>89.16</v>
      </c>
      <c r="D21" s="11">
        <v>163.86666666666665</v>
      </c>
      <c r="E21" s="11">
        <v>163</v>
      </c>
      <c r="F21" s="11">
        <v>156.66666666666666</v>
      </c>
      <c r="G21" s="11">
        <v>170.73333333333335</v>
      </c>
      <c r="H21" s="11">
        <v>166.93333333333337</v>
      </c>
      <c r="I21" s="11">
        <v>165.20000000000002</v>
      </c>
      <c r="J21" s="11"/>
    </row>
    <row r="22" spans="2:10" x14ac:dyDescent="0.3">
      <c r="B22" s="37">
        <v>44593</v>
      </c>
      <c r="C22" s="11">
        <v>96.13</v>
      </c>
      <c r="D22" s="11">
        <v>165.36666666666667</v>
      </c>
      <c r="E22" s="11">
        <v>164.36666666666667</v>
      </c>
      <c r="F22" s="11">
        <v>157.06666666666666</v>
      </c>
      <c r="G22" s="11">
        <v>171.56666666666669</v>
      </c>
      <c r="H22" s="11">
        <v>166.76666666666665</v>
      </c>
      <c r="I22" s="11">
        <v>165.9</v>
      </c>
      <c r="J22" s="11"/>
    </row>
    <row r="23" spans="2:10" x14ac:dyDescent="0.3">
      <c r="B23" s="37">
        <v>44621</v>
      </c>
      <c r="C23" s="11">
        <v>100.53</v>
      </c>
      <c r="D23" s="11">
        <v>166.86666666666667</v>
      </c>
      <c r="E23" s="11">
        <v>167.13333333333333</v>
      </c>
      <c r="F23" s="11">
        <v>158.03333333333333</v>
      </c>
      <c r="G23" s="11">
        <v>172.4</v>
      </c>
      <c r="H23" s="11">
        <v>168.83333333333334</v>
      </c>
      <c r="I23" s="11">
        <v>166.43333333333331</v>
      </c>
      <c r="J23" s="11"/>
    </row>
    <row r="24" spans="2:10" x14ac:dyDescent="0.3">
      <c r="B24" s="37">
        <v>44652</v>
      </c>
      <c r="C24" s="11">
        <v>104.59</v>
      </c>
      <c r="D24" s="11">
        <v>172</v>
      </c>
      <c r="E24" s="11">
        <v>168.73333333333335</v>
      </c>
      <c r="F24" s="11">
        <v>162.69999999999999</v>
      </c>
      <c r="G24" s="11">
        <v>173.33333333333334</v>
      </c>
      <c r="H24" s="11">
        <v>171.29999999999998</v>
      </c>
      <c r="I24" s="11">
        <v>167.26666666666665</v>
      </c>
      <c r="J24" s="11">
        <v>1150</v>
      </c>
    </row>
    <row r="25" spans="2:10" x14ac:dyDescent="0.3">
      <c r="B25" s="37">
        <v>44682</v>
      </c>
      <c r="C25" s="11">
        <v>114.38</v>
      </c>
      <c r="D25" s="11">
        <v>174.4666666666667</v>
      </c>
      <c r="E25" s="11">
        <v>168.36666666666667</v>
      </c>
      <c r="F25" s="11">
        <v>163.16666666666666</v>
      </c>
      <c r="G25" s="11">
        <v>174.19999999999996</v>
      </c>
      <c r="H25" s="11">
        <v>173.86666666666667</v>
      </c>
      <c r="I25" s="11">
        <v>168.3</v>
      </c>
      <c r="J25" s="11">
        <v>1150</v>
      </c>
    </row>
    <row r="26" spans="2:10" x14ac:dyDescent="0.3">
      <c r="B26" s="37">
        <v>44713</v>
      </c>
      <c r="C26" s="11">
        <v>107.76</v>
      </c>
      <c r="D26" s="11">
        <v>175.86666666666665</v>
      </c>
      <c r="E26" s="11">
        <v>169.36666666666667</v>
      </c>
      <c r="F26" s="11">
        <v>161.26666666666665</v>
      </c>
      <c r="G26" s="11">
        <v>174.83333333333334</v>
      </c>
      <c r="H26" s="11">
        <v>175.53333333333333</v>
      </c>
      <c r="I26" s="11">
        <v>169.36666666666667</v>
      </c>
      <c r="J26" s="11">
        <v>1150</v>
      </c>
    </row>
    <row r="27" spans="2:10" x14ac:dyDescent="0.3">
      <c r="B27" s="37">
        <v>44743</v>
      </c>
      <c r="C27" s="11">
        <v>101.31</v>
      </c>
      <c r="D27" s="11">
        <v>179.56666666666669</v>
      </c>
      <c r="E27" s="11">
        <v>169.73333333333332</v>
      </c>
      <c r="F27" s="11">
        <v>161.76666666666668</v>
      </c>
      <c r="G27" s="11">
        <v>175.5333333333333</v>
      </c>
      <c r="H27" s="11">
        <v>175.63333333333333</v>
      </c>
      <c r="I27" s="11">
        <v>171.73333333333335</v>
      </c>
      <c r="J27" s="11"/>
    </row>
    <row r="28" spans="2:10" x14ac:dyDescent="0.3">
      <c r="B28" s="37">
        <v>44774</v>
      </c>
      <c r="C28" s="11">
        <v>90.09</v>
      </c>
      <c r="D28" s="11">
        <v>178.76666666666668</v>
      </c>
      <c r="E28" s="11">
        <v>171.23333333333335</v>
      </c>
      <c r="F28" s="11">
        <v>162.06666666666669</v>
      </c>
      <c r="G28" s="11">
        <v>176.26666666666665</v>
      </c>
      <c r="H28" s="11">
        <v>176.86666666666667</v>
      </c>
      <c r="I28" s="11">
        <v>172.63333333333335</v>
      </c>
      <c r="J28" s="11"/>
    </row>
    <row r="29" spans="2:10" x14ac:dyDescent="0.3">
      <c r="B29" s="37">
        <v>44805</v>
      </c>
      <c r="C29" s="11">
        <v>79.91</v>
      </c>
      <c r="D29" s="11">
        <v>179.46666666666667</v>
      </c>
      <c r="E29" s="11">
        <v>170.93333333333331</v>
      </c>
      <c r="F29" s="11">
        <v>162.46666666666667</v>
      </c>
      <c r="G29" s="11">
        <v>177.26666666666665</v>
      </c>
      <c r="H29" s="11">
        <v>178.36666666666667</v>
      </c>
      <c r="I29" s="11">
        <v>173.4</v>
      </c>
      <c r="J29" s="11"/>
    </row>
    <row r="30" spans="2:10" x14ac:dyDescent="0.3">
      <c r="B30" s="37">
        <v>44835</v>
      </c>
      <c r="C30" s="11">
        <v>86.54</v>
      </c>
      <c r="D30" s="11">
        <v>180.43333333333331</v>
      </c>
      <c r="E30" s="11">
        <v>172.13333333333333</v>
      </c>
      <c r="F30" s="11">
        <v>163.03333333333333</v>
      </c>
      <c r="G30" s="11">
        <v>178.19999999999996</v>
      </c>
      <c r="H30" s="11">
        <v>180.1</v>
      </c>
      <c r="I30" s="11">
        <v>173.70000000000002</v>
      </c>
      <c r="J30" s="11"/>
    </row>
    <row r="31" spans="2:10" x14ac:dyDescent="0.3">
      <c r="B31" s="37">
        <v>44866</v>
      </c>
      <c r="C31" s="11">
        <v>80.48</v>
      </c>
      <c r="D31" s="11">
        <v>181.16666666666666</v>
      </c>
      <c r="E31" s="11">
        <v>173.6</v>
      </c>
      <c r="F31" s="11">
        <v>163.13333333333333</v>
      </c>
      <c r="G31" s="11">
        <v>179.30000000000004</v>
      </c>
      <c r="H31" s="11">
        <v>178.73333333333335</v>
      </c>
      <c r="I31" s="11">
        <v>174.03333333333333</v>
      </c>
      <c r="J31" s="11"/>
    </row>
    <row r="32" spans="2:10" x14ac:dyDescent="0.3">
      <c r="B32" s="37">
        <v>44896</v>
      </c>
      <c r="C32" s="11">
        <v>80.16</v>
      </c>
      <c r="D32" s="11">
        <v>181.80000000000004</v>
      </c>
      <c r="E32" s="11">
        <v>175.83333333333334</v>
      </c>
      <c r="F32" s="11">
        <v>163.53333333333333</v>
      </c>
      <c r="G32" s="11">
        <v>180.6</v>
      </c>
      <c r="H32" s="11">
        <v>176.29999999999998</v>
      </c>
      <c r="I32" s="11">
        <v>174.4</v>
      </c>
      <c r="J32" s="11"/>
    </row>
    <row r="33" spans="2:10" x14ac:dyDescent="0.3">
      <c r="B33" s="41"/>
      <c r="C33" s="11"/>
    </row>
    <row r="34" spans="2:10" x14ac:dyDescent="0.3">
      <c r="B34" s="41"/>
    </row>
    <row r="35" spans="2:10" x14ac:dyDescent="0.3">
      <c r="B35" s="41"/>
      <c r="D35" s="2" t="s">
        <v>2</v>
      </c>
      <c r="E35" t="s">
        <v>149</v>
      </c>
    </row>
    <row r="36" spans="2:10" x14ac:dyDescent="0.3">
      <c r="D36" s="2" t="s">
        <v>1</v>
      </c>
      <c r="E36" t="s">
        <v>103</v>
      </c>
    </row>
    <row r="38" spans="2:10" x14ac:dyDescent="0.3">
      <c r="D38" s="2" t="s">
        <v>50</v>
      </c>
      <c r="E38" t="s">
        <v>181</v>
      </c>
      <c r="F38" t="s">
        <v>281</v>
      </c>
      <c r="G38" t="s">
        <v>182</v>
      </c>
      <c r="H38" t="s">
        <v>180</v>
      </c>
      <c r="I38" t="s">
        <v>131</v>
      </c>
      <c r="J38" t="s">
        <v>282</v>
      </c>
    </row>
    <row r="39" spans="2:10" x14ac:dyDescent="0.3">
      <c r="D39" s="3" t="s">
        <v>203</v>
      </c>
      <c r="E39" s="11">
        <v>147.23333333333335</v>
      </c>
      <c r="F39" s="11">
        <v>156.9</v>
      </c>
      <c r="G39" s="11">
        <v>142.1</v>
      </c>
      <c r="H39" s="11">
        <v>158.63333333333333</v>
      </c>
      <c r="I39" s="11">
        <v>161.33333333333334</v>
      </c>
      <c r="J39" s="11">
        <v>159.6</v>
      </c>
    </row>
    <row r="40" spans="2:10" x14ac:dyDescent="0.3">
      <c r="D40" s="3" t="s">
        <v>205</v>
      </c>
      <c r="E40" s="11">
        <v>151.96666666666667</v>
      </c>
      <c r="F40" s="11">
        <v>155.9</v>
      </c>
      <c r="G40" s="11">
        <v>145.26666666666668</v>
      </c>
      <c r="H40" s="11">
        <v>160.63333333333335</v>
      </c>
      <c r="I40" s="11">
        <v>157.46666666666667</v>
      </c>
      <c r="J40" s="11">
        <v>159.9</v>
      </c>
    </row>
    <row r="41" spans="2:10" x14ac:dyDescent="0.3">
      <c r="D41" s="3" t="s">
        <v>197</v>
      </c>
      <c r="E41" s="11">
        <v>155.43333333333334</v>
      </c>
      <c r="F41" s="11">
        <v>153.93333333333337</v>
      </c>
      <c r="G41" s="11">
        <v>146.4</v>
      </c>
      <c r="H41" s="11">
        <v>161.06666666666669</v>
      </c>
      <c r="I41" s="11">
        <v>157.20000000000002</v>
      </c>
      <c r="J41" s="11">
        <v>160.53333333333333</v>
      </c>
    </row>
    <row r="42" spans="2:10" x14ac:dyDescent="0.3">
      <c r="D42" s="3" t="s">
        <v>209</v>
      </c>
      <c r="E42" s="11">
        <v>155.5</v>
      </c>
      <c r="F42" s="11">
        <v>155.53333333333333</v>
      </c>
      <c r="G42" s="11">
        <v>146.79999999999998</v>
      </c>
      <c r="H42" s="11">
        <v>161.70000000000002</v>
      </c>
      <c r="I42" s="11">
        <v>158.53333333333333</v>
      </c>
      <c r="J42" s="11">
        <v>160.66666666666666</v>
      </c>
    </row>
    <row r="43" spans="2:10" x14ac:dyDescent="0.3">
      <c r="D43" s="3" t="s">
        <v>195</v>
      </c>
      <c r="E43" s="11">
        <v>158.86666666666665</v>
      </c>
      <c r="F43" s="11">
        <v>158.46666666666667</v>
      </c>
      <c r="G43" s="11">
        <v>149.03333333333333</v>
      </c>
      <c r="H43" s="11">
        <v>165.10000000000002</v>
      </c>
      <c r="I43" s="11">
        <v>161.19999999999999</v>
      </c>
      <c r="J43" s="11">
        <v>161.79999999999998</v>
      </c>
    </row>
    <row r="44" spans="2:10" x14ac:dyDescent="0.3">
      <c r="D44" s="3" t="s">
        <v>198</v>
      </c>
      <c r="E44" s="11">
        <v>159.33333333333334</v>
      </c>
      <c r="F44" s="11">
        <v>158.73333333333335</v>
      </c>
      <c r="G44" s="11">
        <v>150.79999999999998</v>
      </c>
      <c r="H44" s="11">
        <v>165.6</v>
      </c>
      <c r="I44" s="11">
        <v>163.1</v>
      </c>
      <c r="J44" s="11">
        <v>162.19999999999999</v>
      </c>
    </row>
    <row r="45" spans="2:10" x14ac:dyDescent="0.3">
      <c r="D45" s="3" t="s">
        <v>199</v>
      </c>
      <c r="E45" s="11">
        <v>160.29999999999998</v>
      </c>
      <c r="F45" s="11">
        <v>160.03333333333333</v>
      </c>
      <c r="G45" s="11">
        <v>153.23333333333335</v>
      </c>
      <c r="H45" s="11">
        <v>166.29999999999998</v>
      </c>
      <c r="I45" s="11">
        <v>164.53333333333333</v>
      </c>
      <c r="J45" s="11">
        <v>163.56666666666666</v>
      </c>
    </row>
    <row r="46" spans="2:10" x14ac:dyDescent="0.3">
      <c r="D46" s="3" t="s">
        <v>207</v>
      </c>
      <c r="E46" s="11">
        <v>162.13333333333333</v>
      </c>
      <c r="F46" s="11">
        <v>159.96666666666667</v>
      </c>
      <c r="G46" s="11">
        <v>154.03333333333333</v>
      </c>
      <c r="H46" s="11">
        <v>167.43333333333337</v>
      </c>
      <c r="I46" s="11">
        <v>164.36666666666667</v>
      </c>
      <c r="J46" s="11">
        <v>163.9</v>
      </c>
    </row>
    <row r="47" spans="2:10" x14ac:dyDescent="0.3">
      <c r="D47" s="3" t="s">
        <v>194</v>
      </c>
      <c r="E47" s="11">
        <v>162.36666666666665</v>
      </c>
      <c r="F47" s="11">
        <v>159.93333333333334</v>
      </c>
      <c r="G47" s="11">
        <v>154.1</v>
      </c>
      <c r="H47" s="11">
        <v>167.70000000000002</v>
      </c>
      <c r="I47" s="11">
        <v>164.46666666666667</v>
      </c>
      <c r="J47" s="11">
        <v>164.16666666666666</v>
      </c>
    </row>
    <row r="48" spans="2:10" x14ac:dyDescent="0.3">
      <c r="D48" s="3" t="s">
        <v>200</v>
      </c>
      <c r="E48" s="11">
        <v>163.96666666666667</v>
      </c>
      <c r="F48" s="11">
        <v>160.73333333333335</v>
      </c>
      <c r="G48" s="11">
        <v>155.79999999999998</v>
      </c>
      <c r="H48" s="11">
        <v>168.36666666666667</v>
      </c>
      <c r="I48" s="11">
        <v>168.23333333333332</v>
      </c>
      <c r="J48" s="11">
        <v>164.4</v>
      </c>
    </row>
    <row r="49" spans="4:10" x14ac:dyDescent="0.3">
      <c r="D49" s="3" t="s">
        <v>201</v>
      </c>
      <c r="E49" s="11">
        <v>163.6</v>
      </c>
      <c r="F49" s="11">
        <v>162.13333333333333</v>
      </c>
      <c r="G49" s="11">
        <v>154.96666666666667</v>
      </c>
      <c r="H49" s="11">
        <v>169.16666666666666</v>
      </c>
      <c r="I49" s="11">
        <v>170.23333333333332</v>
      </c>
      <c r="J49" s="11">
        <v>164.8</v>
      </c>
    </row>
    <row r="50" spans="4:10" x14ac:dyDescent="0.3">
      <c r="D50" s="3" t="s">
        <v>206</v>
      </c>
      <c r="E50" s="11">
        <v>163.79999999999998</v>
      </c>
      <c r="F50" s="11">
        <v>162.6</v>
      </c>
      <c r="G50" s="11">
        <v>155.86666666666667</v>
      </c>
      <c r="H50" s="11">
        <v>169.9</v>
      </c>
      <c r="I50" s="11">
        <v>168.73333333333332</v>
      </c>
      <c r="J50" s="11">
        <v>164.9</v>
      </c>
    </row>
    <row r="51" spans="4:10" x14ac:dyDescent="0.3">
      <c r="D51" s="3" t="s">
        <v>202</v>
      </c>
      <c r="E51" s="11">
        <v>163.86666666666665</v>
      </c>
      <c r="F51" s="11">
        <v>163</v>
      </c>
      <c r="G51" s="11">
        <v>156.66666666666666</v>
      </c>
      <c r="H51" s="11">
        <v>170.73333333333335</v>
      </c>
      <c r="I51" s="11">
        <v>166.93333333333337</v>
      </c>
      <c r="J51" s="11">
        <v>165.20000000000002</v>
      </c>
    </row>
    <row r="52" spans="4:10" x14ac:dyDescent="0.3">
      <c r="D52" s="3" t="s">
        <v>204</v>
      </c>
      <c r="E52" s="11">
        <v>165.36666666666667</v>
      </c>
      <c r="F52" s="11">
        <v>164.36666666666667</v>
      </c>
      <c r="G52" s="11">
        <v>157.06666666666666</v>
      </c>
      <c r="H52" s="11">
        <v>171.56666666666669</v>
      </c>
      <c r="I52" s="11">
        <v>166.76666666666665</v>
      </c>
      <c r="J52" s="11">
        <v>165.9</v>
      </c>
    </row>
    <row r="53" spans="4:10" x14ac:dyDescent="0.3">
      <c r="D53" s="3" t="s">
        <v>196</v>
      </c>
      <c r="E53" s="11">
        <v>166.86666666666667</v>
      </c>
      <c r="F53" s="11">
        <v>167.13333333333333</v>
      </c>
      <c r="G53" s="11">
        <v>158.03333333333333</v>
      </c>
      <c r="H53" s="11">
        <v>172.4</v>
      </c>
      <c r="I53" s="11">
        <v>168.83333333333334</v>
      </c>
      <c r="J53" s="11">
        <v>166.43333333333331</v>
      </c>
    </row>
    <row r="54" spans="4:10" x14ac:dyDescent="0.3">
      <c r="D54" s="3" t="s">
        <v>208</v>
      </c>
      <c r="E54" s="11">
        <v>172</v>
      </c>
      <c r="F54" s="11">
        <v>168.73333333333335</v>
      </c>
      <c r="G54" s="11">
        <v>162.69999999999999</v>
      </c>
      <c r="H54" s="11">
        <v>173.33333333333334</v>
      </c>
      <c r="I54" s="11">
        <v>171.29999999999998</v>
      </c>
      <c r="J54" s="11">
        <v>167.26666666666665</v>
      </c>
    </row>
    <row r="55" spans="4:10" x14ac:dyDescent="0.3">
      <c r="D55" s="3" t="s">
        <v>113</v>
      </c>
      <c r="E55" s="11">
        <v>174.4666666666667</v>
      </c>
      <c r="F55" s="11">
        <v>168.36666666666667</v>
      </c>
      <c r="G55" s="11">
        <v>163.16666666666666</v>
      </c>
      <c r="H55" s="11">
        <v>174.19999999999996</v>
      </c>
      <c r="I55" s="11">
        <v>173.86666666666667</v>
      </c>
      <c r="J55" s="11">
        <v>168.3</v>
      </c>
    </row>
    <row r="56" spans="4:10" x14ac:dyDescent="0.3">
      <c r="D56" s="3" t="s">
        <v>115</v>
      </c>
      <c r="E56" s="11">
        <v>175.86666666666665</v>
      </c>
      <c r="F56" s="11">
        <v>169.36666666666667</v>
      </c>
      <c r="G56" s="11">
        <v>161.26666666666665</v>
      </c>
      <c r="H56" s="11">
        <v>174.83333333333334</v>
      </c>
      <c r="I56" s="11">
        <v>175.53333333333333</v>
      </c>
      <c r="J56" s="11">
        <v>169.36666666666667</v>
      </c>
    </row>
    <row r="57" spans="4:10" x14ac:dyDescent="0.3">
      <c r="D57" s="3" t="s">
        <v>116</v>
      </c>
      <c r="E57" s="11">
        <v>179.56666666666669</v>
      </c>
      <c r="F57" s="11">
        <v>169.73333333333332</v>
      </c>
      <c r="G57" s="11">
        <v>161.76666666666668</v>
      </c>
      <c r="H57" s="11">
        <v>175.5333333333333</v>
      </c>
      <c r="I57" s="11">
        <v>175.63333333333333</v>
      </c>
      <c r="J57" s="11">
        <v>171.73333333333335</v>
      </c>
    </row>
    <row r="58" spans="4:10" x14ac:dyDescent="0.3">
      <c r="D58" s="3" t="s">
        <v>117</v>
      </c>
      <c r="E58" s="11">
        <v>178.76666666666668</v>
      </c>
      <c r="F58" s="11">
        <v>171.23333333333335</v>
      </c>
      <c r="G58" s="11">
        <v>162.06666666666669</v>
      </c>
      <c r="H58" s="11">
        <v>176.26666666666665</v>
      </c>
      <c r="I58" s="11">
        <v>176.86666666666667</v>
      </c>
      <c r="J58" s="11">
        <v>172.63333333333335</v>
      </c>
    </row>
    <row r="59" spans="4:10" x14ac:dyDescent="0.3">
      <c r="D59" s="3" t="s">
        <v>118</v>
      </c>
      <c r="E59" s="11">
        <v>179.46666666666667</v>
      </c>
      <c r="F59" s="11">
        <v>170.93333333333331</v>
      </c>
      <c r="G59" s="11">
        <v>162.46666666666667</v>
      </c>
      <c r="H59" s="11">
        <v>177.26666666666665</v>
      </c>
      <c r="I59" s="11">
        <v>178.36666666666667</v>
      </c>
      <c r="J59" s="11">
        <v>173.4</v>
      </c>
    </row>
    <row r="60" spans="4:10" x14ac:dyDescent="0.3">
      <c r="D60" s="3" t="s">
        <v>119</v>
      </c>
      <c r="E60" s="11">
        <v>180.43333333333331</v>
      </c>
      <c r="F60" s="11">
        <v>172.13333333333333</v>
      </c>
      <c r="G60" s="11">
        <v>163.03333333333333</v>
      </c>
      <c r="H60" s="11">
        <v>178.19999999999996</v>
      </c>
      <c r="I60" s="11">
        <v>180.1</v>
      </c>
      <c r="J60" s="11">
        <v>173.70000000000002</v>
      </c>
    </row>
    <row r="61" spans="4:10" x14ac:dyDescent="0.3">
      <c r="D61" s="3" t="s">
        <v>120</v>
      </c>
      <c r="E61" s="11">
        <v>181.16666666666666</v>
      </c>
      <c r="F61" s="11">
        <v>173.6</v>
      </c>
      <c r="G61" s="11">
        <v>163.13333333333333</v>
      </c>
      <c r="H61" s="11">
        <v>179.30000000000004</v>
      </c>
      <c r="I61" s="11">
        <v>178.73333333333335</v>
      </c>
      <c r="J61" s="11">
        <v>174.03333333333333</v>
      </c>
    </row>
    <row r="62" spans="4:10" x14ac:dyDescent="0.3">
      <c r="D62" s="3" t="s">
        <v>121</v>
      </c>
      <c r="E62" s="11">
        <v>181.80000000000004</v>
      </c>
      <c r="F62" s="11">
        <v>175.83333333333334</v>
      </c>
      <c r="G62" s="11">
        <v>163.53333333333333</v>
      </c>
      <c r="H62" s="11">
        <v>180.6</v>
      </c>
      <c r="I62" s="11">
        <v>176.29999999999998</v>
      </c>
      <c r="J62" s="11">
        <v>174.4</v>
      </c>
    </row>
    <row r="63" spans="4:10" x14ac:dyDescent="0.3">
      <c r="D63" s="3" t="s">
        <v>51</v>
      </c>
      <c r="E63" s="11">
        <v>166.83888888888885</v>
      </c>
      <c r="F63" s="11">
        <v>164.13749999999996</v>
      </c>
      <c r="G63" s="11">
        <v>155.97083333333325</v>
      </c>
      <c r="H63" s="11">
        <v>170.24305555555554</v>
      </c>
      <c r="I63" s="11">
        <v>168.69305555555545</v>
      </c>
      <c r="J63" s="11">
        <v>166.36666666666665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Objective Summery</vt:lpstr>
      <vt:lpstr>Raw Data</vt:lpstr>
      <vt:lpstr>Simple Univatiate Analysis</vt:lpstr>
      <vt:lpstr>Data understanding</vt:lpstr>
      <vt:lpstr>Transformed Data</vt:lpstr>
      <vt:lpstr>1. Objective </vt:lpstr>
      <vt:lpstr>2 Objective</vt:lpstr>
      <vt:lpstr>3 Objective</vt:lpstr>
      <vt:lpstr>4 Objective</vt:lpstr>
      <vt:lpstr> 5 Objective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Abhishek Rawat</cp:lastModifiedBy>
  <dcterms:created xsi:type="dcterms:W3CDTF">2026-01-18T18:53:24Z</dcterms:created>
  <dcterms:modified xsi:type="dcterms:W3CDTF">2026-01-23T14:44:50Z</dcterms:modified>
</cp:coreProperties>
</file>